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Engineering documents\PTM4\Electrical\Excel Template\"/>
    </mc:Choice>
  </mc:AlternateContent>
  <xr:revisionPtr revIDLastSave="0" documentId="13_ncr:1_{5501D72E-207D-48A6-899C-DC6F6293E691}" xr6:coauthVersionLast="45" xr6:coauthVersionMax="45" xr10:uidLastSave="{00000000-0000-0000-0000-000000000000}"/>
  <bookViews>
    <workbookView xWindow="-120" yWindow="-120" windowWidth="29040" windowHeight="15840" tabRatio="677" xr2:uid="{00000000-000D-0000-FFFF-FFFF00000000}"/>
  </bookViews>
  <sheets>
    <sheet name="EnglishOperation" sheetId="7" r:id="rId1"/>
    <sheet name="MULTIPLE_SHOT_REPORT" sheetId="9" r:id="rId2"/>
    <sheet name="IV_REPORT" sheetId="25" r:id="rId3"/>
    <sheet name="IV_REPORT_Plus" sheetId="28" r:id="rId4"/>
    <sheet name="EQUATION_SHEET" sheetId="27" r:id="rId5"/>
    <sheet name="MULTIPLE_SHOT_DATA" sheetId="5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04" i="27" l="1"/>
  <c r="A304" i="27"/>
  <c r="B303" i="27"/>
  <c r="A303" i="27"/>
  <c r="B302" i="27"/>
  <c r="A302" i="27"/>
  <c r="B301" i="27"/>
  <c r="B293" i="27"/>
  <c r="A293" i="27"/>
  <c r="B292" i="27"/>
  <c r="A292" i="27"/>
  <c r="B291" i="27"/>
  <c r="A291" i="27"/>
  <c r="B290" i="27"/>
  <c r="K292" i="27" s="1"/>
  <c r="A301" i="27"/>
  <c r="A290" i="27"/>
  <c r="B278" i="27"/>
  <c r="A278" i="27"/>
  <c r="B277" i="27"/>
  <c r="A277" i="27"/>
  <c r="B276" i="27"/>
  <c r="A276" i="27"/>
  <c r="B275" i="27"/>
  <c r="A275" i="27"/>
  <c r="B267" i="27"/>
  <c r="A267" i="27"/>
  <c r="B266" i="27"/>
  <c r="A266" i="27"/>
  <c r="B265" i="27"/>
  <c r="A265" i="27"/>
  <c r="B264" i="27"/>
  <c r="A264" i="27"/>
  <c r="B252" i="27"/>
  <c r="A252" i="27"/>
  <c r="B251" i="27"/>
  <c r="A251" i="27"/>
  <c r="B250" i="27"/>
  <c r="A250" i="27"/>
  <c r="B249" i="27"/>
  <c r="A249" i="27"/>
  <c r="B241" i="27"/>
  <c r="A241" i="27"/>
  <c r="B240" i="27"/>
  <c r="A240" i="27"/>
  <c r="B239" i="27"/>
  <c r="A239" i="27"/>
  <c r="B238" i="27"/>
  <c r="A238" i="27"/>
  <c r="B226" i="27"/>
  <c r="A226" i="27"/>
  <c r="B225" i="27"/>
  <c r="A225" i="27"/>
  <c r="B224" i="27"/>
  <c r="A224" i="27"/>
  <c r="B223" i="27"/>
  <c r="K225" i="27" s="1"/>
  <c r="A223" i="27"/>
  <c r="B215" i="27"/>
  <c r="A215" i="27"/>
  <c r="B214" i="27"/>
  <c r="A214" i="27"/>
  <c r="B213" i="27"/>
  <c r="A213" i="27"/>
  <c r="B212" i="27"/>
  <c r="A212" i="27"/>
  <c r="B200" i="27"/>
  <c r="A200" i="27"/>
  <c r="B199" i="27"/>
  <c r="A199" i="27"/>
  <c r="B198" i="27"/>
  <c r="A198" i="27"/>
  <c r="B189" i="27"/>
  <c r="A189" i="27"/>
  <c r="B188" i="27"/>
  <c r="A188" i="27"/>
  <c r="B187" i="27"/>
  <c r="A187" i="27"/>
  <c r="A197" i="27"/>
  <c r="B197" i="27"/>
  <c r="B186" i="27"/>
  <c r="A186" i="27"/>
  <c r="B174" i="27"/>
  <c r="A174" i="27"/>
  <c r="B173" i="27"/>
  <c r="A173" i="27"/>
  <c r="B172" i="27"/>
  <c r="A172" i="27"/>
  <c r="B171" i="27"/>
  <c r="K173" i="27" s="1"/>
  <c r="A171" i="27"/>
  <c r="B163" i="27"/>
  <c r="A163" i="27"/>
  <c r="B162" i="27"/>
  <c r="A162" i="27"/>
  <c r="B161" i="27"/>
  <c r="A161" i="27"/>
  <c r="K161" i="27" s="1"/>
  <c r="B160" i="27"/>
  <c r="A160" i="27"/>
  <c r="B148" i="27"/>
  <c r="A148" i="27"/>
  <c r="B147" i="27"/>
  <c r="A147" i="27"/>
  <c r="B146" i="27"/>
  <c r="A146" i="27"/>
  <c r="B145" i="27"/>
  <c r="K147" i="27" s="1"/>
  <c r="A145" i="27"/>
  <c r="B137" i="27"/>
  <c r="A137" i="27"/>
  <c r="B136" i="27"/>
  <c r="A136" i="27"/>
  <c r="B135" i="27"/>
  <c r="A135" i="27"/>
  <c r="B134" i="27"/>
  <c r="A134" i="27"/>
  <c r="B122" i="27"/>
  <c r="A122" i="27"/>
  <c r="B121" i="27"/>
  <c r="A121" i="27"/>
  <c r="B120" i="27"/>
  <c r="A120" i="27"/>
  <c r="B111" i="27"/>
  <c r="A111" i="27"/>
  <c r="B110" i="27"/>
  <c r="A110" i="27"/>
  <c r="B109" i="27"/>
  <c r="A109" i="27"/>
  <c r="A119" i="27"/>
  <c r="B119" i="27"/>
  <c r="B108" i="27"/>
  <c r="A108" i="27"/>
  <c r="A30" i="27"/>
  <c r="B30" i="27"/>
  <c r="B96" i="27"/>
  <c r="A96" i="27"/>
  <c r="B95" i="27"/>
  <c r="A95" i="27"/>
  <c r="B94" i="27"/>
  <c r="A94" i="27"/>
  <c r="B85" i="27"/>
  <c r="A85" i="27"/>
  <c r="B84" i="27"/>
  <c r="A84" i="27"/>
  <c r="B83" i="27"/>
  <c r="A83" i="27"/>
  <c r="A93" i="27"/>
  <c r="B93" i="27"/>
  <c r="B82" i="27"/>
  <c r="A82" i="27"/>
  <c r="B59" i="27"/>
  <c r="A59" i="27"/>
  <c r="B58" i="27"/>
  <c r="A58" i="27"/>
  <c r="B57" i="27"/>
  <c r="A57" i="27"/>
  <c r="B70" i="27"/>
  <c r="A70" i="27"/>
  <c r="B69" i="27"/>
  <c r="A69" i="27"/>
  <c r="B68" i="27"/>
  <c r="A68" i="27"/>
  <c r="A67" i="27"/>
  <c r="B67" i="27"/>
  <c r="B56" i="27"/>
  <c r="A56" i="27"/>
  <c r="B44" i="27"/>
  <c r="B43" i="27"/>
  <c r="B42" i="27"/>
  <c r="B41" i="27"/>
  <c r="B33" i="27"/>
  <c r="B32" i="27"/>
  <c r="B31" i="27"/>
  <c r="A44" i="27"/>
  <c r="A43" i="27"/>
  <c r="A42" i="27"/>
  <c r="A41" i="27"/>
  <c r="A33" i="27"/>
  <c r="A32" i="27"/>
  <c r="A31" i="27"/>
  <c r="B7" i="27"/>
  <c r="B6" i="27"/>
  <c r="B5" i="27"/>
  <c r="B4" i="27"/>
  <c r="B18" i="27"/>
  <c r="B17" i="27"/>
  <c r="B16" i="27"/>
  <c r="B15" i="27"/>
  <c r="A18" i="27"/>
  <c r="A17" i="27"/>
  <c r="A16" i="27"/>
  <c r="A15" i="27"/>
  <c r="A7" i="27"/>
  <c r="A6" i="27"/>
  <c r="A5" i="27"/>
  <c r="A4" i="27"/>
  <c r="K121" i="27" l="1"/>
  <c r="K251" i="27"/>
  <c r="B202" i="27"/>
  <c r="K162" i="27"/>
  <c r="K163" i="27" s="1"/>
  <c r="K214" i="27"/>
  <c r="K13" i="27"/>
  <c r="B20" i="27"/>
  <c r="B72" i="27"/>
  <c r="B98" i="27"/>
  <c r="B124" i="27"/>
  <c r="B46" i="27"/>
  <c r="K91" i="27"/>
  <c r="K169" i="27"/>
  <c r="K187" i="27"/>
  <c r="K195" i="27"/>
  <c r="K39" i="27"/>
  <c r="K136" i="27"/>
  <c r="B150" i="27"/>
  <c r="B176" i="27"/>
  <c r="B228" i="27"/>
  <c r="B254" i="27"/>
  <c r="K266" i="27"/>
  <c r="B280" i="27"/>
  <c r="B306" i="27"/>
  <c r="K65" i="27"/>
  <c r="K117" i="27"/>
  <c r="K143" i="27"/>
  <c r="K221" i="27"/>
  <c r="K247" i="27"/>
  <c r="K273" i="27"/>
  <c r="K299" i="27"/>
  <c r="K303" i="27"/>
  <c r="K277" i="27"/>
  <c r="K240" i="27"/>
  <c r="K188" i="27"/>
  <c r="K199" i="27"/>
  <c r="K190" i="27"/>
  <c r="K164" i="27"/>
  <c r="K172" i="27"/>
  <c r="K175" i="27" s="1"/>
  <c r="K198" i="27"/>
  <c r="K201" i="27" s="1"/>
  <c r="K213" i="27"/>
  <c r="K216" i="27" s="1"/>
  <c r="K224" i="27"/>
  <c r="K227" i="27" s="1"/>
  <c r="K239" i="27"/>
  <c r="K242" i="27" s="1"/>
  <c r="K250" i="27"/>
  <c r="K253" i="27" s="1"/>
  <c r="K265" i="27"/>
  <c r="K268" i="27" s="1"/>
  <c r="K276" i="27"/>
  <c r="K279" i="27" s="1"/>
  <c r="K291" i="27"/>
  <c r="K294" i="27" s="1"/>
  <c r="K302" i="27"/>
  <c r="K305" i="27" s="1"/>
  <c r="K215" i="27"/>
  <c r="K110" i="27"/>
  <c r="K120" i="27"/>
  <c r="K123" i="27" s="1"/>
  <c r="K135" i="27"/>
  <c r="K138" i="27" s="1"/>
  <c r="K146" i="27"/>
  <c r="K149" i="27" s="1"/>
  <c r="K109" i="27"/>
  <c r="K112" i="27" s="1"/>
  <c r="K84" i="27"/>
  <c r="K95" i="27"/>
  <c r="K58" i="27"/>
  <c r="K69" i="27"/>
  <c r="K57" i="27"/>
  <c r="K60" i="27" s="1"/>
  <c r="K68" i="27"/>
  <c r="K71" i="27" s="1"/>
  <c r="K83" i="27"/>
  <c r="K86" i="27" s="1"/>
  <c r="K94" i="27"/>
  <c r="K97" i="27" s="1"/>
  <c r="K42" i="27"/>
  <c r="K45" i="27" s="1"/>
  <c r="K32" i="27"/>
  <c r="K43" i="27"/>
  <c r="K31" i="27"/>
  <c r="K34" i="27" s="1"/>
  <c r="K6" i="27"/>
  <c r="K17" i="27"/>
  <c r="K16" i="27"/>
  <c r="K19" i="27" s="1"/>
  <c r="K5" i="27"/>
  <c r="K8" i="27" s="1"/>
  <c r="C23" i="9"/>
  <c r="C29" i="9"/>
  <c r="C28" i="9"/>
  <c r="C27" i="9"/>
  <c r="C26" i="9"/>
  <c r="C25" i="9"/>
  <c r="C24" i="9"/>
  <c r="C22" i="9"/>
  <c r="C21" i="9"/>
  <c r="C20" i="9"/>
  <c r="C19" i="9"/>
  <c r="C18" i="9"/>
  <c r="C17" i="9"/>
  <c r="C16" i="9"/>
  <c r="C15" i="9"/>
  <c r="C14" i="9"/>
  <c r="C13" i="9"/>
  <c r="C12" i="9"/>
  <c r="C11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C10" i="9"/>
  <c r="B10" i="9"/>
  <c r="C9" i="9"/>
  <c r="B9" i="9"/>
  <c r="C8" i="9"/>
  <c r="C7" i="9"/>
  <c r="C6" i="9"/>
  <c r="B8" i="9"/>
  <c r="B7" i="9"/>
  <c r="B6" i="9"/>
  <c r="K200" i="27" l="1"/>
  <c r="K202" i="27" s="1"/>
  <c r="K203" i="27" s="1"/>
  <c r="K205" i="27" s="1"/>
  <c r="H12" i="28" s="1"/>
  <c r="K165" i="27"/>
  <c r="K166" i="27" s="1"/>
  <c r="K168" i="27" s="1"/>
  <c r="G11" i="28" s="1"/>
  <c r="K189" i="27"/>
  <c r="F14" i="25"/>
  <c r="F14" i="28"/>
  <c r="F7" i="25"/>
  <c r="F7" i="28"/>
  <c r="E14" i="25"/>
  <c r="E14" i="28"/>
  <c r="F11" i="25"/>
  <c r="F11" i="28"/>
  <c r="E8" i="25"/>
  <c r="E8" i="28"/>
  <c r="E16" i="25"/>
  <c r="E16" i="28"/>
  <c r="E13" i="25"/>
  <c r="E13" i="28"/>
  <c r="F8" i="25"/>
  <c r="F8" i="28"/>
  <c r="F16" i="25"/>
  <c r="F16" i="28"/>
  <c r="F10" i="25"/>
  <c r="F10" i="28"/>
  <c r="E15" i="25"/>
  <c r="E15" i="28"/>
  <c r="E11" i="25"/>
  <c r="E11" i="28"/>
  <c r="F12" i="25"/>
  <c r="F12" i="28"/>
  <c r="E6" i="25"/>
  <c r="E6" i="28"/>
  <c r="E5" i="25"/>
  <c r="E5" i="28"/>
  <c r="E12" i="25"/>
  <c r="E12" i="28"/>
  <c r="F13" i="25"/>
  <c r="F13" i="28"/>
  <c r="F6" i="25"/>
  <c r="F6" i="28"/>
  <c r="E7" i="25"/>
  <c r="E7" i="28"/>
  <c r="F15" i="25"/>
  <c r="F15" i="28"/>
  <c r="F9" i="25"/>
  <c r="F9" i="28"/>
  <c r="E10" i="25"/>
  <c r="E10" i="28"/>
  <c r="E9" i="25"/>
  <c r="E9" i="28"/>
  <c r="F5" i="25"/>
  <c r="F17" i="25" s="1"/>
  <c r="F5" i="28"/>
  <c r="K304" i="27"/>
  <c r="K306" i="27" s="1"/>
  <c r="K307" i="27" s="1"/>
  <c r="K309" i="27" s="1"/>
  <c r="H16" i="28" s="1"/>
  <c r="K267" i="27"/>
  <c r="K269" i="27" s="1"/>
  <c r="K270" i="27" s="1"/>
  <c r="K272" i="27" s="1"/>
  <c r="K252" i="27"/>
  <c r="K254" i="27" s="1"/>
  <c r="K255" i="27" s="1"/>
  <c r="K257" i="27" s="1"/>
  <c r="H14" i="28" s="1"/>
  <c r="K217" i="27"/>
  <c r="K218" i="27" s="1"/>
  <c r="K220" i="27" s="1"/>
  <c r="G13" i="28" s="1"/>
  <c r="K191" i="27"/>
  <c r="K192" i="27" s="1"/>
  <c r="K194" i="27" s="1"/>
  <c r="K293" i="27"/>
  <c r="K295" i="27" s="1"/>
  <c r="K296" i="27" s="1"/>
  <c r="K298" i="27" s="1"/>
  <c r="K241" i="27"/>
  <c r="K243" i="27" s="1"/>
  <c r="K244" i="27" s="1"/>
  <c r="K246" i="27" s="1"/>
  <c r="G14" i="28" s="1"/>
  <c r="K174" i="27"/>
  <c r="K176" i="27" s="1"/>
  <c r="K177" i="27" s="1"/>
  <c r="K179" i="27" s="1"/>
  <c r="K278" i="27"/>
  <c r="K280" i="27" s="1"/>
  <c r="K281" i="27" s="1"/>
  <c r="K283" i="27" s="1"/>
  <c r="H15" i="28" s="1"/>
  <c r="K226" i="27"/>
  <c r="K228" i="27" s="1"/>
  <c r="K229" i="27" s="1"/>
  <c r="K231" i="27" s="1"/>
  <c r="H13" i="28" s="1"/>
  <c r="K148" i="27"/>
  <c r="K150" i="27" s="1"/>
  <c r="K151" i="27" s="1"/>
  <c r="K153" i="27" s="1"/>
  <c r="H10" i="28" s="1"/>
  <c r="K137" i="27"/>
  <c r="K139" i="27" s="1"/>
  <c r="K140" i="27" s="1"/>
  <c r="K142" i="27" s="1"/>
  <c r="K122" i="27"/>
  <c r="K124" i="27" s="1"/>
  <c r="K125" i="27" s="1"/>
  <c r="K127" i="27" s="1"/>
  <c r="H9" i="28" s="1"/>
  <c r="K111" i="27"/>
  <c r="K113" i="27" s="1"/>
  <c r="K114" i="27" s="1"/>
  <c r="K116" i="27" s="1"/>
  <c r="G9" i="28" s="1"/>
  <c r="K44" i="27"/>
  <c r="K46" i="27" s="1"/>
  <c r="K47" i="27" s="1"/>
  <c r="K49" i="27" s="1"/>
  <c r="H6" i="28" s="1"/>
  <c r="K33" i="27"/>
  <c r="K35" i="27" s="1"/>
  <c r="K36" i="27" s="1"/>
  <c r="K38" i="27" s="1"/>
  <c r="K85" i="27"/>
  <c r="K87" i="27" s="1"/>
  <c r="K88" i="27" s="1"/>
  <c r="K90" i="27" s="1"/>
  <c r="G8" i="28" s="1"/>
  <c r="K70" i="27"/>
  <c r="K72" i="27" s="1"/>
  <c r="K73" i="27" s="1"/>
  <c r="K75" i="27" s="1"/>
  <c r="H7" i="28" s="1"/>
  <c r="K96" i="27"/>
  <c r="K98" i="27" s="1"/>
  <c r="K99" i="27" s="1"/>
  <c r="K101" i="27" s="1"/>
  <c r="H8" i="28" s="1"/>
  <c r="K59" i="27"/>
  <c r="K61" i="27" s="1"/>
  <c r="K62" i="27" s="1"/>
  <c r="K64" i="27" s="1"/>
  <c r="K18" i="27"/>
  <c r="K20" i="27" s="1"/>
  <c r="K21" i="27" s="1"/>
  <c r="K23" i="27" s="1"/>
  <c r="H5" i="28" s="1"/>
  <c r="K7" i="27"/>
  <c r="K9" i="27" s="1"/>
  <c r="K10" i="27" s="1"/>
  <c r="K12" i="27" s="1"/>
  <c r="F18" i="25" l="1"/>
  <c r="F19" i="25"/>
  <c r="F20" i="25"/>
  <c r="E19" i="28"/>
  <c r="K50" i="27"/>
  <c r="G6" i="28"/>
  <c r="K154" i="27"/>
  <c r="G10" i="28"/>
  <c r="K180" i="27"/>
  <c r="H11" i="28"/>
  <c r="H17" i="28" s="1"/>
  <c r="F18" i="28"/>
  <c r="F19" i="28"/>
  <c r="F17" i="28"/>
  <c r="F20" i="28"/>
  <c r="E18" i="28"/>
  <c r="K24" i="27"/>
  <c r="G5" i="28"/>
  <c r="H20" i="28"/>
  <c r="K310" i="27"/>
  <c r="G16" i="28"/>
  <c r="E20" i="28"/>
  <c r="E20" i="25"/>
  <c r="E19" i="25"/>
  <c r="E21" i="25" s="1"/>
  <c r="E17" i="28"/>
  <c r="K76" i="27"/>
  <c r="G7" i="28"/>
  <c r="K206" i="27"/>
  <c r="G12" i="28"/>
  <c r="K284" i="27"/>
  <c r="G15" i="28"/>
  <c r="E18" i="25"/>
  <c r="E17" i="25"/>
  <c r="K102" i="27"/>
  <c r="K128" i="27"/>
  <c r="K258" i="27"/>
  <c r="K232" i="27"/>
  <c r="E8" i="9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H18" i="28" l="1"/>
  <c r="F21" i="28"/>
  <c r="H19" i="28"/>
  <c r="H21" i="28" s="1"/>
  <c r="D15" i="25"/>
  <c r="D15" i="28"/>
  <c r="D5" i="25"/>
  <c r="D5" i="28"/>
  <c r="E21" i="28"/>
  <c r="D12" i="25"/>
  <c r="D12" i="28"/>
  <c r="D16" i="25"/>
  <c r="D16" i="28"/>
  <c r="D9" i="25"/>
  <c r="D9" i="28"/>
  <c r="G20" i="28"/>
  <c r="G18" i="28"/>
  <c r="G17" i="28"/>
  <c r="G19" i="28"/>
  <c r="D11" i="25"/>
  <c r="D11" i="28"/>
  <c r="D6" i="25"/>
  <c r="D6" i="28"/>
  <c r="D8" i="25"/>
  <c r="D8" i="28"/>
  <c r="D7" i="25"/>
  <c r="D7" i="28"/>
  <c r="D13" i="25"/>
  <c r="D13" i="28"/>
  <c r="D10" i="25"/>
  <c r="D10" i="28"/>
  <c r="D14" i="25"/>
  <c r="D14" i="28"/>
  <c r="F21" i="25"/>
  <c r="F16" i="9"/>
  <c r="F12" i="9"/>
  <c r="F8" i="9"/>
  <c r="F15" i="9"/>
  <c r="F11" i="9"/>
  <c r="F14" i="9"/>
  <c r="F10" i="9"/>
  <c r="F7" i="9"/>
  <c r="F17" i="9"/>
  <c r="F13" i="9"/>
  <c r="F9" i="9"/>
  <c r="C31" i="9"/>
  <c r="D20" i="28" l="1"/>
  <c r="D17" i="28"/>
  <c r="D19" i="28"/>
  <c r="D21" i="28" s="1"/>
  <c r="D18" i="28"/>
  <c r="G21" i="28"/>
  <c r="F18" i="9"/>
  <c r="H7" i="9" s="1"/>
  <c r="C33" i="9"/>
  <c r="C30" i="9"/>
  <c r="B31" i="9"/>
  <c r="C32" i="9"/>
  <c r="B30" i="9"/>
  <c r="B33" i="9"/>
  <c r="B32" i="9"/>
  <c r="D19" i="25" l="1"/>
  <c r="D17" i="25"/>
  <c r="D20" i="25"/>
  <c r="D18" i="25"/>
  <c r="H9" i="9"/>
  <c r="H17" i="9"/>
  <c r="H8" i="9"/>
  <c r="H10" i="9"/>
  <c r="H33" i="9"/>
  <c r="H13" i="9"/>
  <c r="H16" i="9"/>
  <c r="H12" i="9"/>
  <c r="H15" i="9"/>
  <c r="H35" i="9"/>
  <c r="L35" i="9" s="1"/>
  <c r="H40" i="9"/>
  <c r="L40" i="9" s="1"/>
  <c r="H34" i="9"/>
  <c r="L34" i="9" s="1"/>
  <c r="H38" i="9"/>
  <c r="L38" i="9" s="1"/>
  <c r="H36" i="9"/>
  <c r="L36" i="9" s="1"/>
  <c r="H39" i="9"/>
  <c r="L39" i="9" s="1"/>
  <c r="H37" i="9"/>
  <c r="L37" i="9" s="1"/>
  <c r="H11" i="9"/>
  <c r="H14" i="9"/>
  <c r="C34" i="9"/>
  <c r="B34" i="9"/>
  <c r="D21" i="25" l="1"/>
  <c r="K33" i="9"/>
  <c r="L33" i="9"/>
  <c r="J33" i="9"/>
  <c r="K38" i="9"/>
  <c r="J38" i="9"/>
  <c r="K37" i="9"/>
  <c r="J37" i="9"/>
  <c r="K34" i="9"/>
  <c r="J34" i="9"/>
  <c r="K39" i="9"/>
  <c r="J39" i="9"/>
  <c r="K40" i="9"/>
  <c r="J40" i="9"/>
  <c r="K36" i="9"/>
  <c r="J36" i="9"/>
  <c r="K35" i="9"/>
  <c r="J35" i="9"/>
</calcChain>
</file>

<file path=xl/sharedStrings.xml><?xml version="1.0" encoding="utf-8"?>
<sst xmlns="http://schemas.openxmlformats.org/spreadsheetml/2006/main" count="341" uniqueCount="71">
  <si>
    <t>Ball #</t>
  </si>
  <si>
    <t>COR</t>
  </si>
  <si>
    <t>AVG</t>
  </si>
  <si>
    <t>MAX</t>
  </si>
  <si>
    <t>MIN</t>
  </si>
  <si>
    <t>RANGE</t>
  </si>
  <si>
    <t>Hits</t>
  </si>
  <si>
    <t xml:space="preserve"> </t>
  </si>
  <si>
    <t>Revision</t>
  </si>
  <si>
    <t>% Complete</t>
  </si>
  <si>
    <t>Download</t>
  </si>
  <si>
    <t>Multiple Shot Test Report</t>
  </si>
  <si>
    <t>IP Address</t>
  </si>
  <si>
    <t>Hye Precision Products</t>
  </si>
  <si>
    <t>ST-DEV</t>
  </si>
  <si>
    <t>High</t>
  </si>
  <si>
    <t>failure #</t>
  </si>
  <si>
    <t>BIN</t>
  </si>
  <si>
    <t>failure %</t>
  </si>
  <si>
    <t>0-9</t>
  </si>
  <si>
    <t>10-19</t>
  </si>
  <si>
    <t>20-29</t>
  </si>
  <si>
    <t>30-39</t>
  </si>
  <si>
    <t>40-49</t>
  </si>
  <si>
    <t>50-59</t>
  </si>
  <si>
    <t>60-69</t>
  </si>
  <si>
    <t>70-79</t>
  </si>
  <si>
    <t>80-89</t>
  </si>
  <si>
    <t>90-99</t>
  </si>
  <si>
    <t>100+</t>
  </si>
  <si>
    <t>Expected # of Failures by Sample Size</t>
  </si>
  <si>
    <t>Statistical Probability of Breakage</t>
  </si>
  <si>
    <t>&lt; 40 Hits</t>
  </si>
  <si>
    <t>40-49 Hits</t>
  </si>
  <si>
    <t>50-59 Hits</t>
  </si>
  <si>
    <t>60-69 Hits</t>
  </si>
  <si>
    <t>70-79 Hits</t>
  </si>
  <si>
    <t>80-89 Hits</t>
  </si>
  <si>
    <t>90-99 Hits</t>
  </si>
  <si>
    <t>100+ Hits</t>
  </si>
  <si>
    <t>Xmean=</t>
  </si>
  <si>
    <t>Ymean=</t>
  </si>
  <si>
    <t>Slope m=</t>
  </si>
  <si>
    <t>Y-Int b=</t>
  </si>
  <si>
    <t>Vin(input)=</t>
  </si>
  <si>
    <t>C.O.R.(output)=</t>
  </si>
  <si>
    <t>IV</t>
  </si>
  <si>
    <t>Initial Velocity Test Report</t>
  </si>
  <si>
    <t>BALL 1 INITIAL VELOCITY</t>
  </si>
  <si>
    <t>BALL 2 INITIAL VELOCITY</t>
  </si>
  <si>
    <r>
      <rPr>
        <sz val="11"/>
        <rFont val="Calibri"/>
        <family val="2"/>
      </rPr>
      <t>Ʃ</t>
    </r>
    <r>
      <rPr>
        <sz val="11"/>
        <rFont val="Calibri"/>
        <family val="2"/>
        <scheme val="minor"/>
      </rPr>
      <t>(xi-Xmean)(yi-Ymean)=</t>
    </r>
  </si>
  <si>
    <r>
      <t>Ʃ(xi-Xmean)</t>
    </r>
    <r>
      <rPr>
        <sz val="11"/>
        <rFont val="Calibri"/>
        <family val="2"/>
      </rPr>
      <t>²</t>
    </r>
    <r>
      <rPr>
        <sz val="11"/>
        <rFont val="Calibri"/>
        <family val="2"/>
        <scheme val="minor"/>
      </rPr>
      <t>=</t>
    </r>
  </si>
  <si>
    <t>BALL 3 INITIAL VELOCITY</t>
  </si>
  <si>
    <t>BALL 4 INITIAL VELOCITY</t>
  </si>
  <si>
    <t>C.O.R</t>
  </si>
  <si>
    <t>BALL 5 INITIAL VELOCITY</t>
  </si>
  <si>
    <t>BALL 6 INITIAL VELOCITY</t>
  </si>
  <si>
    <t>BALL 7 INITIAL VELOCITY</t>
  </si>
  <si>
    <t>BALL 8 INITIAL VELOCITY</t>
  </si>
  <si>
    <t>BALL 9 INITIAL VELOCITY</t>
  </si>
  <si>
    <t>BALL 10 INITIAL VELOCITY</t>
  </si>
  <si>
    <t>BALL 11 INITIAL VELOCITY</t>
  </si>
  <si>
    <t>BALL 12 INITIAL VELOCITY</t>
  </si>
  <si>
    <t>C.O.R. Interpolation</t>
  </si>
  <si>
    <t>Contact Time Interpolation</t>
  </si>
  <si>
    <t>IntCT=</t>
  </si>
  <si>
    <t>IntIV=</t>
  </si>
  <si>
    <t>=</t>
  </si>
  <si>
    <t>10.125.125.2</t>
  </si>
  <si>
    <t>CT</t>
  </si>
  <si>
    <t>PTM 4 Data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</si>
</sst>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0"/>
    <numFmt numFmtId="166" formatCode="0.000"/>
    <numFmt numFmtId="167" formatCode="0.000000"/>
    <numFmt numFmtId="168" formatCode="0.0%"/>
    <numFmt numFmtId="169" formatCode="\±\ 0.000"/>
    <numFmt numFmtId="170" formatCode="0.00000"/>
    <numFmt numFmtId="171" formatCode="0.00000000000000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name val="Calibri"/>
      <family val="2"/>
    </font>
    <font>
      <b/>
      <sz val="10"/>
      <color rgb="FF3333CC"/>
      <name val="Arial"/>
      <family val="2"/>
    </font>
    <font>
      <i/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9"/>
      <name val="Calibri"/>
      <family val="2"/>
      <scheme val="minor"/>
    </font>
    <font>
      <sz val="10"/>
      <color theme="0" tint="-0.1499984740745262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26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Protection="1"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167" fontId="0" fillId="0" borderId="0" xfId="0" applyNumberFormat="1"/>
    <xf numFmtId="0" fontId="2" fillId="0" borderId="0" xfId="0" applyFont="1" applyAlignment="1">
      <alignment horizontal="right"/>
    </xf>
    <xf numFmtId="166" fontId="2" fillId="0" borderId="0" xfId="0" applyNumberFormat="1" applyFont="1" applyAlignment="1">
      <alignment horizontal="center"/>
    </xf>
    <xf numFmtId="9" fontId="8" fillId="0" borderId="0" xfId="1" applyFont="1" applyAlignment="1">
      <alignment horizontal="center"/>
    </xf>
    <xf numFmtId="0" fontId="9" fillId="0" borderId="0" xfId="0" applyFont="1"/>
    <xf numFmtId="164" fontId="6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0" fontId="2" fillId="2" borderId="3" xfId="0" applyFont="1" applyFill="1" applyBorder="1" applyAlignment="1">
      <alignment horizontal="center"/>
    </xf>
    <xf numFmtId="166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64" fontId="6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167" fontId="2" fillId="0" borderId="5" xfId="0" applyNumberFormat="1" applyFont="1" applyBorder="1" applyAlignment="1">
      <alignment horizontal="center"/>
    </xf>
    <xf numFmtId="0" fontId="0" fillId="0" borderId="3" xfId="0" applyBorder="1" applyAlignment="1" applyProtection="1">
      <alignment horizontal="right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7" xfId="0" applyBorder="1" applyAlignment="1" applyProtection="1">
      <alignment horizontal="right"/>
      <protection locked="0"/>
    </xf>
    <xf numFmtId="0" fontId="0" fillId="0" borderId="9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0" xfId="0" applyBorder="1" applyProtection="1">
      <protection locked="0"/>
    </xf>
    <xf numFmtId="165" fontId="6" fillId="0" borderId="4" xfId="0" applyNumberFormat="1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2" fillId="0" borderId="0" xfId="0" quotePrefix="1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6" fillId="0" borderId="21" xfId="0" applyFont="1" applyBorder="1" applyAlignment="1">
      <alignment horizontal="left"/>
    </xf>
    <xf numFmtId="0" fontId="6" fillId="0" borderId="20" xfId="0" applyFont="1" applyBorder="1"/>
    <xf numFmtId="0" fontId="2" fillId="0" borderId="20" xfId="0" applyFont="1" applyBorder="1"/>
    <xf numFmtId="0" fontId="11" fillId="0" borderId="22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168" fontId="2" fillId="0" borderId="0" xfId="1" applyNumberFormat="1"/>
    <xf numFmtId="164" fontId="11" fillId="0" borderId="21" xfId="0" applyNumberFormat="1" applyFont="1" applyBorder="1" applyAlignment="1">
      <alignment horizontal="center"/>
    </xf>
    <xf numFmtId="169" fontId="11" fillId="0" borderId="0" xfId="0" applyNumberFormat="1" applyFont="1" applyAlignment="1">
      <alignment horizontal="center"/>
    </xf>
    <xf numFmtId="49" fontId="2" fillId="0" borderId="3" xfId="0" applyNumberFormat="1" applyFont="1" applyBorder="1" applyAlignment="1" applyProtection="1">
      <alignment horizontal="center"/>
      <protection locked="0"/>
    </xf>
    <xf numFmtId="0" fontId="6" fillId="3" borderId="15" xfId="0" applyFont="1" applyFill="1" applyBorder="1" applyAlignment="1" applyProtection="1">
      <alignment horizontal="right"/>
      <protection locked="0"/>
    </xf>
    <xf numFmtId="0" fontId="6" fillId="3" borderId="16" xfId="0" applyFont="1" applyFill="1" applyBorder="1" applyAlignment="1" applyProtection="1">
      <alignment horizontal="right"/>
      <protection locked="0"/>
    </xf>
    <xf numFmtId="0" fontId="12" fillId="0" borderId="7" xfId="2" applyFont="1" applyBorder="1"/>
    <xf numFmtId="170" fontId="12" fillId="0" borderId="0" xfId="2" applyNumberFormat="1" applyFont="1"/>
    <xf numFmtId="0" fontId="12" fillId="0" borderId="0" xfId="2" applyFont="1"/>
    <xf numFmtId="0" fontId="12" fillId="0" borderId="6" xfId="2" applyFont="1" applyBorder="1"/>
    <xf numFmtId="0" fontId="12" fillId="0" borderId="0" xfId="2" applyFont="1" applyAlignment="1">
      <alignment horizontal="right"/>
    </xf>
    <xf numFmtId="170" fontId="12" fillId="0" borderId="6" xfId="2" applyNumberFormat="1" applyFont="1" applyBorder="1"/>
    <xf numFmtId="166" fontId="12" fillId="0" borderId="6" xfId="2" applyNumberFormat="1" applyFont="1" applyBorder="1"/>
    <xf numFmtId="0" fontId="12" fillId="0" borderId="9" xfId="2" applyFont="1" applyBorder="1"/>
    <xf numFmtId="170" fontId="12" fillId="0" borderId="1" xfId="2" applyNumberFormat="1" applyFont="1" applyBorder="1"/>
    <xf numFmtId="0" fontId="12" fillId="0" borderId="1" xfId="2" applyFont="1" applyBorder="1"/>
    <xf numFmtId="0" fontId="12" fillId="0" borderId="10" xfId="2" applyFont="1" applyBorder="1"/>
    <xf numFmtId="0" fontId="12" fillId="0" borderId="6" xfId="2" applyFont="1" applyBorder="1" applyAlignment="1">
      <alignment horizontal="center"/>
    </xf>
    <xf numFmtId="0" fontId="15" fillId="0" borderId="0" xfId="2" applyFont="1" applyAlignment="1">
      <alignment horizontal="center" vertical="center"/>
    </xf>
    <xf numFmtId="0" fontId="15" fillId="0" borderId="6" xfId="2" applyFont="1" applyBorder="1" applyAlignment="1">
      <alignment horizontal="center" vertical="center"/>
    </xf>
    <xf numFmtId="0" fontId="16" fillId="0" borderId="7" xfId="2" applyFont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2" fillId="0" borderId="7" xfId="2" applyFont="1" applyBorder="1" applyAlignment="1">
      <alignment horizontal="center"/>
    </xf>
    <xf numFmtId="170" fontId="12" fillId="0" borderId="0" xfId="2" applyNumberFormat="1" applyFont="1" applyAlignment="1">
      <alignment horizontal="center"/>
    </xf>
    <xf numFmtId="0" fontId="16" fillId="0" borderId="0" xfId="2" applyFont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12" xfId="0" applyFont="1" applyFill="1" applyBorder="1" applyAlignment="1">
      <alignment horizontal="right"/>
    </xf>
    <xf numFmtId="0" fontId="6" fillId="4" borderId="13" xfId="0" applyFont="1" applyFill="1" applyBorder="1"/>
    <xf numFmtId="171" fontId="0" fillId="0" borderId="0" xfId="0" applyNumberFormat="1"/>
    <xf numFmtId="170" fontId="0" fillId="0" borderId="0" xfId="0" applyNumberFormat="1"/>
    <xf numFmtId="0" fontId="6" fillId="4" borderId="27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166" fontId="2" fillId="0" borderId="27" xfId="0" applyNumberFormat="1" applyFont="1" applyBorder="1" applyAlignment="1">
      <alignment horizontal="center"/>
    </xf>
    <xf numFmtId="1" fontId="2" fillId="0" borderId="27" xfId="0" applyNumberFormat="1" applyFont="1" applyBorder="1" applyAlignment="1">
      <alignment horizontal="center"/>
    </xf>
    <xf numFmtId="0" fontId="2" fillId="4" borderId="27" xfId="0" applyFont="1" applyFill="1" applyBorder="1" applyAlignment="1">
      <alignment horizontal="center"/>
    </xf>
    <xf numFmtId="164" fontId="2" fillId="0" borderId="27" xfId="0" applyNumberFormat="1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166" fontId="2" fillId="0" borderId="29" xfId="0" applyNumberFormat="1" applyFont="1" applyBorder="1" applyAlignment="1">
      <alignment horizontal="center"/>
    </xf>
    <xf numFmtId="1" fontId="2" fillId="0" borderId="29" xfId="0" applyNumberFormat="1" applyFont="1" applyBorder="1" applyAlignment="1">
      <alignment horizontal="center"/>
    </xf>
    <xf numFmtId="0" fontId="2" fillId="4" borderId="28" xfId="0" applyFont="1" applyFill="1" applyBorder="1" applyAlignment="1">
      <alignment horizontal="center"/>
    </xf>
    <xf numFmtId="166" fontId="2" fillId="0" borderId="28" xfId="0" applyNumberFormat="1" applyFont="1" applyBorder="1" applyAlignment="1">
      <alignment horizontal="center"/>
    </xf>
    <xf numFmtId="1" fontId="2" fillId="0" borderId="28" xfId="0" applyNumberFormat="1" applyFont="1" applyBorder="1" applyAlignment="1">
      <alignment horizontal="center"/>
    </xf>
    <xf numFmtId="164" fontId="2" fillId="0" borderId="28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1" fontId="12" fillId="0" borderId="0" xfId="2" applyNumberFormat="1" applyFont="1" applyAlignment="1">
      <alignment horizontal="center"/>
    </xf>
    <xf numFmtId="0" fontId="12" fillId="0" borderId="7" xfId="2" applyFont="1" applyBorder="1" applyAlignment="1">
      <alignment horizontal="left"/>
    </xf>
    <xf numFmtId="170" fontId="12" fillId="0" borderId="6" xfId="2" applyNumberFormat="1" applyFont="1" applyBorder="1" applyAlignment="1">
      <alignment horizontal="center"/>
    </xf>
    <xf numFmtId="0" fontId="6" fillId="4" borderId="27" xfId="0" applyFont="1" applyFill="1" applyBorder="1" applyAlignment="1">
      <alignment horizontal="left"/>
    </xf>
    <xf numFmtId="0" fontId="0" fillId="0" borderId="27" xfId="0" applyBorder="1"/>
    <xf numFmtId="0" fontId="0" fillId="0" borderId="30" xfId="0" applyBorder="1"/>
    <xf numFmtId="1" fontId="0" fillId="0" borderId="27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65" fontId="2" fillId="0" borderId="28" xfId="0" applyNumberFormat="1" applyFont="1" applyBorder="1" applyAlignment="1">
      <alignment horizontal="center"/>
    </xf>
    <xf numFmtId="165" fontId="2" fillId="0" borderId="27" xfId="0" applyNumberFormat="1" applyFont="1" applyBorder="1" applyAlignment="1">
      <alignment horizontal="center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4" fillId="3" borderId="14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18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17" fillId="4" borderId="11" xfId="0" applyFont="1" applyFill="1" applyBorder="1" applyAlignment="1">
      <alignment horizontal="center"/>
    </xf>
    <xf numFmtId="0" fontId="17" fillId="4" borderId="1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0" xfId="0" applyFont="1" applyBorder="1" applyAlignment="1">
      <alignment horizontal="center"/>
    </xf>
    <xf numFmtId="0" fontId="15" fillId="0" borderId="14" xfId="2" applyFont="1" applyBorder="1" applyAlignment="1">
      <alignment horizontal="center" vertical="center"/>
    </xf>
    <xf numFmtId="0" fontId="15" fillId="0" borderId="23" xfId="2" applyFont="1" applyBorder="1" applyAlignment="1">
      <alignment horizontal="center" vertical="center"/>
    </xf>
    <xf numFmtId="0" fontId="15" fillId="0" borderId="24" xfId="2" applyFont="1" applyBorder="1" applyAlignment="1">
      <alignment horizontal="center" vertical="center"/>
    </xf>
    <xf numFmtId="0" fontId="15" fillId="0" borderId="7" xfId="2" applyFont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6" xfId="2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2 2" xfId="3" xr:uid="{00000000-0005-0000-0000-000002000000}"/>
    <cellStyle name="Percent" xfId="1" builtinId="5"/>
    <cellStyle name="Percent 2" xfId="4" xr:uid="{00000000-0005-0000-0000-000004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657A308-CA03-11D4-80DA-0050DA2CCA1A}" ax:license="Copyright (c) 2001 Automated Solutions, Inc. All Rights Reserved. {309A0581-304B-11d5-8112-0050DA2CCA1A}" ax:persistence="persistPropertyBag">
  <ax:ocxPr ax:name="_Version" ax:value="131077"/>
  <ax:ocxPr ax:name="_ExtentX" ax:value="2990"/>
  <ax:ocxPr ax:name="_ExtentY" ax:value="1958"/>
  <ax:ocxPr ax:name="_StockProps" ax:value="0"/>
  <ax:ocxPr ax:name="Function" ax:value="32"/>
  <ax:ocxPr ax:name="MemQty" ax:value="100"/>
  <ax:ocxPr ax:name="MemStart" ax:value="TIME[23,0]"/>
  <ax:ocxPr ax:name="NodeAddress" ax:value="192.168.20.2"/>
  <ax:ocxPr ax:name="TimeoutConnect" ax:value="1000"/>
  <ax:ocxPr ax:name="TimeoutTrans" ax:value="1000"/>
  <ax:ocxPr ax:name="MemType" ax:value="R"/>
</ax:ocx>
</file>

<file path=xl/activeX/activeX2.xml><?xml version="1.0" encoding="utf-8"?>
<ax:ocx xmlns:ax="http://schemas.microsoft.com/office/2006/activeX" xmlns:r="http://schemas.openxmlformats.org/officeDocument/2006/relationships" ax:classid="{8657A308-CA03-11D4-80DA-0050DA2CCA1A}" ax:license="Copyright (c) 2001 Automated Solutions, Inc. All Rights Reserved. {309A0581-304B-11d5-8112-0050DA2CCA1A}" ax:persistence="persistPropertyBag">
  <ax:ocxPr ax:name="_Version" ax:value="131077"/>
  <ax:ocxPr ax:name="_ExtentX" ax:value="2646"/>
  <ax:ocxPr ax:name="_ExtentY" ax:value="1561"/>
  <ax:ocxPr ax:name="_StockProps" ax:value="0"/>
  <ax:ocxPr ax:name="Function" ax:value="32"/>
  <ax:ocxPr ax:name="MemQty" ax:value="100"/>
  <ax:ocxPr ax:name="MemStart" ax:value="TIME[1,0]"/>
  <ax:ocxPr ax:name="MemType" ax:value="R"/>
</ax:ocx>
</file>

<file path=xl/activeX/activeX3.xml><?xml version="1.0" encoding="utf-8"?>
<ax:ocx xmlns:ax="http://schemas.microsoft.com/office/2006/activeX" xmlns:r="http://schemas.openxmlformats.org/officeDocument/2006/relationships" ax:classid="{8657A308-CA03-11D4-80DA-0050DA2CCA1A}" ax:license="Copyright (c) 2001 Automated Solutions, Inc. All Rights Reserved. {309A0581-304B-11d5-8112-0050DA2CCA1A}" ax:persistence="persistPropertyBag">
  <ax:ocxPr ax:name="_Version" ax:value="131077"/>
  <ax:ocxPr ax:name="_ExtentX" ax:value="2514"/>
  <ax:ocxPr ax:name="_ExtentY" ax:value="1535"/>
  <ax:ocxPr ax:name="_StockProps" ax:value="0"/>
  <ax:ocxPr ax:name="Function" ax:value="32"/>
  <ax:ocxPr ax:name="MemQty" ax:value="100"/>
  <ax:ocxPr ax:name="MemStart" ax:value="BALL[23,100]"/>
  <ax:ocxPr ax:name="NodeAddress" ax:value="192.168.20.2"/>
  <ax:ocxPr ax:name="TimeoutConnect" ax:value="1000"/>
  <ax:ocxPr ax:name="TimeoutTrans" ax:value="1000"/>
  <ax:ocxPr ax:name="MemType" ax:value="R"/>
</ax:ocx>
</file>

<file path=xl/activeX/activeX4.xml><?xml version="1.0" encoding="utf-8"?>
<ax:ocx xmlns:ax="http://schemas.microsoft.com/office/2006/activeX" xmlns:r="http://schemas.openxmlformats.org/officeDocument/2006/relationships" ax:classid="{8657A308-CA03-11D4-80DA-0050DA2CCA1A}" ax:license="Copyright (c) 2001 Automated Solutions, Inc. All Rights Reserved. {309A0581-304B-11d5-8112-0050DA2CCA1A}" ax:persistence="persistPropertyBag">
  <ax:ocxPr ax:name="_Version" ax:value="131077"/>
  <ax:ocxPr ax:name="_ExtentX" ax:value="2514"/>
  <ax:ocxPr ax:name="_ExtentY" ax:value="1535"/>
  <ax:ocxPr ax:name="_StockProps" ax:value="0"/>
  <ax:ocxPr ax:name="Function" ax:value="32"/>
  <ax:ocxPr ax:name="MemQty" ax:value="100"/>
  <ax:ocxPr ax:name="MemStart" ax:value="BALL[23,0]"/>
  <ax:ocxPr ax:name="NodeAddress" ax:value="192.168.20.2"/>
  <ax:ocxPr ax:name="TimeoutConnect" ax:value="1000"/>
  <ax:ocxPr ax:name="TimeoutTrans" ax:value="1000"/>
  <ax:ocxPr ax:name="MemType" ax:value="R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Distribution - Hits to Failure</a:t>
            </a:r>
          </a:p>
        </c:rich>
      </c:tx>
      <c:layout>
        <c:manualLayout>
          <c:xMode val="edge"/>
          <c:yMode val="edge"/>
          <c:x val="0.3311553702845968"/>
          <c:y val="3.08008727824684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52891427787212"/>
          <c:y val="0.10882978436730315"/>
          <c:w val="0.82135251002627574"/>
          <c:h val="0.7556475748840706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strRef>
              <c:f>MULTIPLE_SHOT_REPORT!$G$7:$G$17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100+</c:v>
                </c:pt>
              </c:strCache>
            </c:strRef>
          </c:cat>
          <c:val>
            <c:numRef>
              <c:f>MULTIPLE_SHOT_REPORT!$H$7:$H$17</c:f>
              <c:numCache>
                <c:formatCode>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7-4ECE-BF39-40C347BCE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223936"/>
        <c:axId val="116692480"/>
      </c:barChart>
      <c:catAx>
        <c:axId val="11522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Hits to Failure</a:t>
                </a:r>
              </a:p>
            </c:rich>
          </c:tx>
          <c:layout>
            <c:manualLayout>
              <c:xMode val="edge"/>
              <c:yMode val="edge"/>
              <c:x val="0.41176562080066786"/>
              <c:y val="0.950719666065838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6692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6692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Failures</a:t>
                </a:r>
              </a:p>
            </c:rich>
          </c:tx>
          <c:layout>
            <c:manualLayout>
              <c:xMode val="edge"/>
              <c:yMode val="edge"/>
              <c:x val="1.7429193899782137E-2"/>
              <c:y val="0.4455855548176960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2239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EQUATION_SHEET!$A$4:$A$7</c:f>
              <c:numCache>
                <c:formatCode>General</c:formatCode>
                <c:ptCount val="4"/>
                <c:pt idx="0">
                  <c:v>153.17558288574219</c:v>
                </c:pt>
                <c:pt idx="1">
                  <c:v>149.78034973144531</c:v>
                </c:pt>
                <c:pt idx="2">
                  <c:v>142.48231506347656</c:v>
                </c:pt>
                <c:pt idx="3">
                  <c:v>137.99964904785156</c:v>
                </c:pt>
              </c:numCache>
            </c:numRef>
          </c:xVal>
          <c:yVal>
            <c:numRef>
              <c:f>EQUATION_SHEET!$B$4:$B$7</c:f>
              <c:numCache>
                <c:formatCode>0.00000</c:formatCode>
                <c:ptCount val="4"/>
                <c:pt idx="0">
                  <c:v>0.75975211473011695</c:v>
                </c:pt>
                <c:pt idx="1">
                  <c:v>0.76617544510215718</c:v>
                </c:pt>
                <c:pt idx="2">
                  <c:v>0.77720923552974008</c:v>
                </c:pt>
                <c:pt idx="3">
                  <c:v>0.78014583237735302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B-47C9-BF03-46686D08A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39072"/>
        <c:axId val="109978368"/>
      </c:scatterChart>
      <c:valAx>
        <c:axId val="11673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978368"/>
        <c:crosses val="autoZero"/>
        <c:crossBetween val="midCat"/>
      </c:valAx>
      <c:valAx>
        <c:axId val="109978368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1673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EQUATION_SHEET!$A$15:$A$18</c:f>
              <c:numCache>
                <c:formatCode>General</c:formatCode>
                <c:ptCount val="4"/>
                <c:pt idx="0">
                  <c:v>153.17558288574219</c:v>
                </c:pt>
                <c:pt idx="1">
                  <c:v>149.78034973144531</c:v>
                </c:pt>
                <c:pt idx="2">
                  <c:v>142.48231506347656</c:v>
                </c:pt>
                <c:pt idx="3">
                  <c:v>137.99964904785156</c:v>
                </c:pt>
              </c:numCache>
            </c:numRef>
          </c:xVal>
          <c:yVal>
            <c:numRef>
              <c:f>EQUATION_SHEET!$B$15:$B$18</c:f>
              <c:numCache>
                <c:formatCode>0</c:formatCode>
                <c:ptCount val="4"/>
                <c:pt idx="0">
                  <c:v>522</c:v>
                </c:pt>
                <c:pt idx="1">
                  <c:v>526</c:v>
                </c:pt>
                <c:pt idx="2">
                  <c:v>528</c:v>
                </c:pt>
                <c:pt idx="3">
                  <c:v>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CB-489E-85DB-3A729540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54016"/>
        <c:axId val="115255552"/>
      </c:scatterChart>
      <c:valAx>
        <c:axId val="11525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255552"/>
        <c:crosses val="autoZero"/>
        <c:crossBetween val="midCat"/>
      </c:valAx>
      <c:valAx>
        <c:axId val="11525555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1525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EQUATION_SHEET!$A$30:$A$33</c:f>
              <c:numCache>
                <c:formatCode>General</c:formatCode>
                <c:ptCount val="4"/>
                <c:pt idx="0">
                  <c:v>153.24598693847656</c:v>
                </c:pt>
                <c:pt idx="1">
                  <c:v>149.5787353515625</c:v>
                </c:pt>
                <c:pt idx="2">
                  <c:v>142.80784606933594</c:v>
                </c:pt>
                <c:pt idx="3">
                  <c:v>140.10694885253906</c:v>
                </c:pt>
              </c:numCache>
            </c:numRef>
          </c:xVal>
          <c:yVal>
            <c:numRef>
              <c:f>EQUATION_SHEET!$B$30:$B$33</c:f>
              <c:numCache>
                <c:formatCode>0.00000</c:formatCode>
                <c:ptCount val="4"/>
                <c:pt idx="0">
                  <c:v>0.75719803061376589</c:v>
                </c:pt>
                <c:pt idx="1">
                  <c:v>0.76300139796906841</c:v>
                </c:pt>
                <c:pt idx="2">
                  <c:v>0.77603972837001167</c:v>
                </c:pt>
                <c:pt idx="3">
                  <c:v>0.77975536832791892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6E-46B2-8122-10BD2DD2C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51584"/>
        <c:axId val="118398976"/>
      </c:scatterChart>
      <c:valAx>
        <c:axId val="11645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398976"/>
        <c:crosses val="autoZero"/>
        <c:crossBetween val="midCat"/>
      </c:valAx>
      <c:valAx>
        <c:axId val="118398976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1645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EQUATION_SHEET!$A$41:$A$44</c:f>
              <c:numCache>
                <c:formatCode>General</c:formatCode>
                <c:ptCount val="4"/>
                <c:pt idx="0">
                  <c:v>153.24598693847656</c:v>
                </c:pt>
                <c:pt idx="1">
                  <c:v>149.5787353515625</c:v>
                </c:pt>
                <c:pt idx="2">
                  <c:v>142.80784606933594</c:v>
                </c:pt>
                <c:pt idx="3">
                  <c:v>140.10694885253906</c:v>
                </c:pt>
              </c:numCache>
            </c:numRef>
          </c:xVal>
          <c:yVal>
            <c:numRef>
              <c:f>EQUATION_SHEET!$B$41:$B$44</c:f>
              <c:numCache>
                <c:formatCode>0</c:formatCode>
                <c:ptCount val="4"/>
                <c:pt idx="0">
                  <c:v>532</c:v>
                </c:pt>
                <c:pt idx="1">
                  <c:v>532</c:v>
                </c:pt>
                <c:pt idx="2">
                  <c:v>537</c:v>
                </c:pt>
                <c:pt idx="3">
                  <c:v>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79-4A39-A2CC-2D6DD9DC3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79872"/>
        <c:axId val="116481408"/>
      </c:scatterChart>
      <c:valAx>
        <c:axId val="11647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481408"/>
        <c:crosses val="autoZero"/>
        <c:crossBetween val="midCat"/>
      </c:valAx>
      <c:valAx>
        <c:axId val="11648140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1647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EQUATION_SHEET!$A$56:$A$59</c:f>
              <c:numCache>
                <c:formatCode>General</c:formatCode>
                <c:ptCount val="4"/>
                <c:pt idx="0">
                  <c:v>152.70779418945313</c:v>
                </c:pt>
                <c:pt idx="1">
                  <c:v>148.62287902832031</c:v>
                </c:pt>
                <c:pt idx="2">
                  <c:v>142.93031311035156</c:v>
                </c:pt>
                <c:pt idx="3">
                  <c:v>140.1265869140625</c:v>
                </c:pt>
              </c:numCache>
            </c:numRef>
          </c:xVal>
          <c:yVal>
            <c:numRef>
              <c:f>EQUATION_SHEET!$B$56:$B$59</c:f>
              <c:numCache>
                <c:formatCode>0.00000</c:formatCode>
                <c:ptCount val="4"/>
                <c:pt idx="0">
                  <c:v>0.76092721339571368</c:v>
                </c:pt>
                <c:pt idx="1">
                  <c:v>0.77001973994442996</c:v>
                </c:pt>
                <c:pt idx="2">
                  <c:v>0.77580507737682636</c:v>
                </c:pt>
                <c:pt idx="3">
                  <c:v>0.78229795795340606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73-4DC8-AF7F-7D1CCB35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01504"/>
        <c:axId val="116503296"/>
      </c:scatterChart>
      <c:valAx>
        <c:axId val="11650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503296"/>
        <c:crosses val="autoZero"/>
        <c:crossBetween val="midCat"/>
      </c:valAx>
      <c:valAx>
        <c:axId val="116503296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1650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EQUATION_SHEET!$A$67:$A$70</c:f>
              <c:numCache>
                <c:formatCode>General</c:formatCode>
                <c:ptCount val="4"/>
                <c:pt idx="0">
                  <c:v>152.70779418945313</c:v>
                </c:pt>
                <c:pt idx="1">
                  <c:v>148.62287902832031</c:v>
                </c:pt>
                <c:pt idx="2">
                  <c:v>142.93031311035156</c:v>
                </c:pt>
                <c:pt idx="3">
                  <c:v>140.1265869140625</c:v>
                </c:pt>
              </c:numCache>
            </c:numRef>
          </c:xVal>
          <c:yVal>
            <c:numRef>
              <c:f>EQUATION_SHEET!$B$67:$B$70</c:f>
              <c:numCache>
                <c:formatCode>0</c:formatCode>
                <c:ptCount val="4"/>
                <c:pt idx="0">
                  <c:v>523</c:v>
                </c:pt>
                <c:pt idx="1">
                  <c:v>529</c:v>
                </c:pt>
                <c:pt idx="2">
                  <c:v>530</c:v>
                </c:pt>
                <c:pt idx="3">
                  <c:v>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8E-4DB6-9DDC-2F78E6C51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13408"/>
        <c:axId val="118702464"/>
      </c:scatterChart>
      <c:valAx>
        <c:axId val="11651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702464"/>
        <c:crosses val="autoZero"/>
        <c:crossBetween val="midCat"/>
      </c:valAx>
      <c:valAx>
        <c:axId val="1187024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1651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EQUATION_SHEET!$A$82:$A$85</c:f>
              <c:numCache>
                <c:formatCode>General</c:formatCode>
                <c:ptCount val="4"/>
                <c:pt idx="0">
                  <c:v>152.68449401855469</c:v>
                </c:pt>
                <c:pt idx="1">
                  <c:v>148.97711181640625</c:v>
                </c:pt>
                <c:pt idx="2">
                  <c:v>142.78746032714844</c:v>
                </c:pt>
                <c:pt idx="3">
                  <c:v>140.95608520507813</c:v>
                </c:pt>
              </c:numCache>
            </c:numRef>
          </c:xVal>
          <c:yVal>
            <c:numRef>
              <c:f>EQUATION_SHEET!$B$82:$B$85</c:f>
              <c:numCache>
                <c:formatCode>0.00000</c:formatCode>
                <c:ptCount val="4"/>
                <c:pt idx="0">
                  <c:v>0.75962972841893794</c:v>
                </c:pt>
                <c:pt idx="1">
                  <c:v>0.76433640085527899</c:v>
                </c:pt>
                <c:pt idx="2">
                  <c:v>0.77494707844935284</c:v>
                </c:pt>
                <c:pt idx="3">
                  <c:v>0.77616133370023566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CB-4121-9DCA-58F809CE4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22944"/>
        <c:axId val="118724480"/>
      </c:scatterChart>
      <c:valAx>
        <c:axId val="11872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724480"/>
        <c:crosses val="autoZero"/>
        <c:crossBetween val="midCat"/>
      </c:valAx>
      <c:valAx>
        <c:axId val="118724480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1872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EQUATION_SHEET!$A$93:$A$96</c:f>
              <c:numCache>
                <c:formatCode>General</c:formatCode>
                <c:ptCount val="4"/>
                <c:pt idx="0">
                  <c:v>152.68449401855469</c:v>
                </c:pt>
                <c:pt idx="1">
                  <c:v>148.97711181640625</c:v>
                </c:pt>
                <c:pt idx="2">
                  <c:v>142.78746032714844</c:v>
                </c:pt>
                <c:pt idx="3">
                  <c:v>140.95608520507813</c:v>
                </c:pt>
              </c:numCache>
            </c:numRef>
          </c:xVal>
          <c:yVal>
            <c:numRef>
              <c:f>EQUATION_SHEET!$B$93:$B$96</c:f>
              <c:numCache>
                <c:formatCode>0.00000</c:formatCode>
                <c:ptCount val="4"/>
                <c:pt idx="0">
                  <c:v>527</c:v>
                </c:pt>
                <c:pt idx="1">
                  <c:v>527</c:v>
                </c:pt>
                <c:pt idx="2">
                  <c:v>532</c:v>
                </c:pt>
                <c:pt idx="3">
                  <c:v>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C3-477E-9C9D-D012CA136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57248"/>
        <c:axId val="118758784"/>
      </c:scatterChart>
      <c:valAx>
        <c:axId val="11875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758784"/>
        <c:crosses val="autoZero"/>
        <c:crossBetween val="midCat"/>
      </c:valAx>
      <c:valAx>
        <c:axId val="118758784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187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EQUATION_SHEET!$A$108:$A$111</c:f>
              <c:numCache>
                <c:formatCode>General</c:formatCode>
                <c:ptCount val="4"/>
                <c:pt idx="0">
                  <c:v>151.48187255859375</c:v>
                </c:pt>
                <c:pt idx="1">
                  <c:v>148.71127319335938</c:v>
                </c:pt>
                <c:pt idx="2">
                  <c:v>142.03712463378906</c:v>
                </c:pt>
                <c:pt idx="3">
                  <c:v>139.28738403320313</c:v>
                </c:pt>
              </c:numCache>
            </c:numRef>
          </c:xVal>
          <c:yVal>
            <c:numRef>
              <c:f>EQUATION_SHEET!$B$108:$B$111</c:f>
              <c:numCache>
                <c:formatCode>0.00000</c:formatCode>
                <c:ptCount val="4"/>
                <c:pt idx="0">
                  <c:v>0.76495001367915194</c:v>
                </c:pt>
                <c:pt idx="1">
                  <c:v>0.76832983409915634</c:v>
                </c:pt>
                <c:pt idx="2">
                  <c:v>0.77774877813879617</c:v>
                </c:pt>
                <c:pt idx="3">
                  <c:v>0.78503014458929987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8-412D-8ED0-45DB84B82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79264"/>
        <c:axId val="118801536"/>
      </c:scatterChart>
      <c:valAx>
        <c:axId val="11877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801536"/>
        <c:crosses val="autoZero"/>
        <c:crossBetween val="midCat"/>
      </c:valAx>
      <c:valAx>
        <c:axId val="118801536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1877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EQUATION_SHEET!$A$119:$A$122</c:f>
              <c:numCache>
                <c:formatCode>General</c:formatCode>
                <c:ptCount val="4"/>
                <c:pt idx="0">
                  <c:v>151.48187255859375</c:v>
                </c:pt>
                <c:pt idx="1">
                  <c:v>148.71127319335938</c:v>
                </c:pt>
                <c:pt idx="2">
                  <c:v>142.03712463378906</c:v>
                </c:pt>
                <c:pt idx="3">
                  <c:v>139.28738403320313</c:v>
                </c:pt>
              </c:numCache>
            </c:numRef>
          </c:xVal>
          <c:yVal>
            <c:numRef>
              <c:f>EQUATION_SHEET!$B$119:$B$122</c:f>
              <c:numCache>
                <c:formatCode>0.00000</c:formatCode>
                <c:ptCount val="4"/>
                <c:pt idx="0">
                  <c:v>525</c:v>
                </c:pt>
                <c:pt idx="1">
                  <c:v>523</c:v>
                </c:pt>
                <c:pt idx="2">
                  <c:v>527</c:v>
                </c:pt>
                <c:pt idx="3">
                  <c:v>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F8-4759-BC99-18A0F3C06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157312"/>
        <c:axId val="120158848"/>
      </c:scatterChart>
      <c:valAx>
        <c:axId val="12015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58848"/>
        <c:crosses val="autoZero"/>
        <c:crossBetween val="midCat"/>
      </c:valAx>
      <c:valAx>
        <c:axId val="120158848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15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EQUATION_SHEET!$A$134:$A$137</c:f>
              <c:numCache>
                <c:formatCode>General</c:formatCode>
                <c:ptCount val="4"/>
                <c:pt idx="0">
                  <c:v>152.91795349121094</c:v>
                </c:pt>
                <c:pt idx="1">
                  <c:v>148.97711181640625</c:v>
                </c:pt>
                <c:pt idx="2">
                  <c:v>142.50262451171875</c:v>
                </c:pt>
                <c:pt idx="3">
                  <c:v>140.18550109863281</c:v>
                </c:pt>
              </c:numCache>
            </c:numRef>
          </c:xVal>
          <c:yVal>
            <c:numRef>
              <c:f>EQUATION_SHEET!$B$134:$B$137</c:f>
              <c:numCache>
                <c:formatCode>0.00000</c:formatCode>
                <c:ptCount val="4"/>
                <c:pt idx="0">
                  <c:v>0.76147555223296493</c:v>
                </c:pt>
                <c:pt idx="1">
                  <c:v>0.76704653232226105</c:v>
                </c:pt>
                <c:pt idx="2">
                  <c:v>0.77641006817394309</c:v>
                </c:pt>
                <c:pt idx="3">
                  <c:v>0.78179759288932194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4A-4330-9FC8-BBF1D10D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171136"/>
        <c:axId val="120185216"/>
      </c:scatterChart>
      <c:valAx>
        <c:axId val="12017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85216"/>
        <c:crosses val="autoZero"/>
        <c:crossBetween val="midCat"/>
      </c:valAx>
      <c:valAx>
        <c:axId val="120185216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17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EQUATION_SHEET!$A$145:$A$148</c:f>
              <c:numCache>
                <c:formatCode>General</c:formatCode>
                <c:ptCount val="4"/>
                <c:pt idx="0">
                  <c:v>152.91795349121094</c:v>
                </c:pt>
                <c:pt idx="1">
                  <c:v>148.97711181640625</c:v>
                </c:pt>
                <c:pt idx="2">
                  <c:v>142.50262451171875</c:v>
                </c:pt>
                <c:pt idx="3">
                  <c:v>140.18550109863281</c:v>
                </c:pt>
              </c:numCache>
            </c:numRef>
          </c:xVal>
          <c:yVal>
            <c:numRef>
              <c:f>EQUATION_SHEET!$B$145:$B$148</c:f>
              <c:numCache>
                <c:formatCode>0.00000</c:formatCode>
                <c:ptCount val="4"/>
                <c:pt idx="0">
                  <c:v>513</c:v>
                </c:pt>
                <c:pt idx="1">
                  <c:v>515</c:v>
                </c:pt>
                <c:pt idx="2">
                  <c:v>518</c:v>
                </c:pt>
                <c:pt idx="3">
                  <c:v>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7F-4EBA-99BA-8DD59F2C5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75328"/>
        <c:axId val="120276864"/>
      </c:scatterChart>
      <c:valAx>
        <c:axId val="12027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276864"/>
        <c:crosses val="autoZero"/>
        <c:crossBetween val="midCat"/>
      </c:valAx>
      <c:valAx>
        <c:axId val="120276864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2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EQUATION_SHEET!$A$160:$A$163</c:f>
              <c:numCache>
                <c:formatCode>General</c:formatCode>
                <c:ptCount val="4"/>
                <c:pt idx="0">
                  <c:v>152.63787841796875</c:v>
                </c:pt>
                <c:pt idx="1">
                  <c:v>147.43968200683594</c:v>
                </c:pt>
                <c:pt idx="2">
                  <c:v>142.76707458496094</c:v>
                </c:pt>
                <c:pt idx="3">
                  <c:v>140.14622497558594</c:v>
                </c:pt>
              </c:numCache>
            </c:numRef>
          </c:xVal>
          <c:yVal>
            <c:numRef>
              <c:f>EQUATION_SHEET!$B$160:$B$163</c:f>
              <c:numCache>
                <c:formatCode>0.00000</c:formatCode>
                <c:ptCount val="4"/>
                <c:pt idx="0">
                  <c:v>0.76171866096666729</c:v>
                </c:pt>
                <c:pt idx="1">
                  <c:v>0.76758249611103924</c:v>
                </c:pt>
                <c:pt idx="2">
                  <c:v>0.77497190955094508</c:v>
                </c:pt>
                <c:pt idx="3">
                  <c:v>0.78021934052165232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5F-4300-8A48-5E17C9E1B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93248"/>
        <c:axId val="120294784"/>
      </c:scatterChart>
      <c:valAx>
        <c:axId val="12029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294784"/>
        <c:crosses val="autoZero"/>
        <c:crossBetween val="midCat"/>
      </c:valAx>
      <c:valAx>
        <c:axId val="120294784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29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EQUATION_SHEET!$A$171:$A$174</c:f>
              <c:numCache>
                <c:formatCode>General</c:formatCode>
                <c:ptCount val="4"/>
                <c:pt idx="0">
                  <c:v>152.63787841796875</c:v>
                </c:pt>
                <c:pt idx="1">
                  <c:v>147.43968200683594</c:v>
                </c:pt>
                <c:pt idx="2">
                  <c:v>142.76707458496094</c:v>
                </c:pt>
                <c:pt idx="3">
                  <c:v>140.14622497558594</c:v>
                </c:pt>
              </c:numCache>
            </c:numRef>
          </c:xVal>
          <c:yVal>
            <c:numRef>
              <c:f>EQUATION_SHEET!$B$171:$B$174</c:f>
              <c:numCache>
                <c:formatCode>0.00000</c:formatCode>
                <c:ptCount val="4"/>
                <c:pt idx="0">
                  <c:v>533</c:v>
                </c:pt>
                <c:pt idx="1">
                  <c:v>536</c:v>
                </c:pt>
                <c:pt idx="2">
                  <c:v>537</c:v>
                </c:pt>
                <c:pt idx="3">
                  <c:v>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0A-4367-BDCE-620B4CF93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11168"/>
        <c:axId val="120329344"/>
      </c:scatterChart>
      <c:valAx>
        <c:axId val="120311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329344"/>
        <c:crosses val="autoZero"/>
        <c:crossBetween val="midCat"/>
      </c:valAx>
      <c:valAx>
        <c:axId val="120329344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31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EQUATION_SHEET!$A$186:$A$189</c:f>
              <c:numCache>
                <c:formatCode>General</c:formatCode>
                <c:ptCount val="4"/>
                <c:pt idx="0">
                  <c:v>152.26605224609375</c:v>
                </c:pt>
                <c:pt idx="1">
                  <c:v>148.71127319335938</c:v>
                </c:pt>
                <c:pt idx="2">
                  <c:v>141.95648193359375</c:v>
                </c:pt>
                <c:pt idx="3">
                  <c:v>140.22482299804688</c:v>
                </c:pt>
              </c:numCache>
            </c:numRef>
          </c:xVal>
          <c:yVal>
            <c:numRef>
              <c:f>EQUATION_SHEET!$B$186:$B$189</c:f>
              <c:numCache>
                <c:formatCode>0.00000</c:formatCode>
                <c:ptCount val="4"/>
                <c:pt idx="0">
                  <c:v>0.76012891390520887</c:v>
                </c:pt>
                <c:pt idx="1">
                  <c:v>0.76509238409175839</c:v>
                </c:pt>
                <c:pt idx="2">
                  <c:v>0.77664485352446344</c:v>
                </c:pt>
                <c:pt idx="3">
                  <c:v>0.77672171263406475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3C-42C5-93E0-8E202FE7A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62112"/>
        <c:axId val="120363648"/>
      </c:scatterChart>
      <c:valAx>
        <c:axId val="12036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363648"/>
        <c:crosses val="autoZero"/>
        <c:crossBetween val="midCat"/>
      </c:valAx>
      <c:valAx>
        <c:axId val="120363648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36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EQUATION_SHEET!$A$197:$A$200</c:f>
              <c:numCache>
                <c:formatCode>General</c:formatCode>
                <c:ptCount val="4"/>
                <c:pt idx="0">
                  <c:v>152.26605224609375</c:v>
                </c:pt>
                <c:pt idx="1">
                  <c:v>148.71127319335938</c:v>
                </c:pt>
                <c:pt idx="2">
                  <c:v>141.95648193359375</c:v>
                </c:pt>
                <c:pt idx="3">
                  <c:v>140.22482299804688</c:v>
                </c:pt>
              </c:numCache>
            </c:numRef>
          </c:xVal>
          <c:yVal>
            <c:numRef>
              <c:f>EQUATION_SHEET!$B$197:$B$200</c:f>
              <c:numCache>
                <c:formatCode>0.00000</c:formatCode>
                <c:ptCount val="4"/>
                <c:pt idx="0">
                  <c:v>530</c:v>
                </c:pt>
                <c:pt idx="1">
                  <c:v>535</c:v>
                </c:pt>
                <c:pt idx="2">
                  <c:v>536</c:v>
                </c:pt>
                <c:pt idx="3">
                  <c:v>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C3-4E82-B8C3-8BB5AEECD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92320"/>
        <c:axId val="120402304"/>
      </c:scatterChart>
      <c:valAx>
        <c:axId val="12039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402304"/>
        <c:crosses val="autoZero"/>
        <c:crossBetween val="midCat"/>
      </c:valAx>
      <c:valAx>
        <c:axId val="120402304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39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EQUATION_SHEET!$A$212:$A$215</c:f>
              <c:numCache>
                <c:formatCode>General</c:formatCode>
                <c:ptCount val="4"/>
                <c:pt idx="0">
                  <c:v>152.87120056152344</c:v>
                </c:pt>
                <c:pt idx="1">
                  <c:v>148.79978942871094</c:v>
                </c:pt>
                <c:pt idx="2">
                  <c:v>142.46202087402344</c:v>
                </c:pt>
                <c:pt idx="3">
                  <c:v>140.91635131835938</c:v>
                </c:pt>
              </c:numCache>
            </c:numRef>
          </c:xVal>
          <c:yVal>
            <c:numRef>
              <c:f>EQUATION_SHEET!$B$212:$B$215</c:f>
              <c:numCache>
                <c:formatCode>0.00000</c:formatCode>
                <c:ptCount val="4"/>
                <c:pt idx="0">
                  <c:v>0.7607331467663988</c:v>
                </c:pt>
                <c:pt idx="1">
                  <c:v>0.76664530638266415</c:v>
                </c:pt>
                <c:pt idx="2">
                  <c:v>0.77680337080998429</c:v>
                </c:pt>
                <c:pt idx="3">
                  <c:v>0.77834058862855104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8B-4FE7-AD57-B0666DE2D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22784"/>
        <c:axId val="120424320"/>
      </c:scatterChart>
      <c:valAx>
        <c:axId val="12042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424320"/>
        <c:crosses val="autoZero"/>
        <c:crossBetween val="midCat"/>
      </c:valAx>
      <c:valAx>
        <c:axId val="120424320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42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EQUATION_SHEET!$A$223:$A$226</c:f>
              <c:numCache>
                <c:formatCode>General</c:formatCode>
                <c:ptCount val="4"/>
                <c:pt idx="0">
                  <c:v>152.87120056152344</c:v>
                </c:pt>
                <c:pt idx="1">
                  <c:v>148.79978942871094</c:v>
                </c:pt>
                <c:pt idx="2">
                  <c:v>142.46202087402344</c:v>
                </c:pt>
                <c:pt idx="3">
                  <c:v>140.91635131835938</c:v>
                </c:pt>
              </c:numCache>
            </c:numRef>
          </c:xVal>
          <c:yVal>
            <c:numRef>
              <c:f>EQUATION_SHEET!$B$223:$B$226</c:f>
              <c:numCache>
                <c:formatCode>0.00000</c:formatCode>
                <c:ptCount val="4"/>
                <c:pt idx="0">
                  <c:v>517</c:v>
                </c:pt>
                <c:pt idx="1">
                  <c:v>521</c:v>
                </c:pt>
                <c:pt idx="2">
                  <c:v>525</c:v>
                </c:pt>
                <c:pt idx="3">
                  <c:v>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78-414C-8F0D-FD26DDBC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534912"/>
        <c:axId val="120536448"/>
      </c:scatterChart>
      <c:valAx>
        <c:axId val="120534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536448"/>
        <c:crosses val="autoZero"/>
        <c:crossBetween val="midCat"/>
      </c:valAx>
      <c:valAx>
        <c:axId val="120536448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5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EQUATION_SHEET!$A$238:$A$241</c:f>
              <c:numCache>
                <c:formatCode>General</c:formatCode>
                <c:ptCount val="4"/>
                <c:pt idx="0">
                  <c:v>152.63787841796875</c:v>
                </c:pt>
                <c:pt idx="1">
                  <c:v>149.55636596679688</c:v>
                </c:pt>
                <c:pt idx="2">
                  <c:v>142.1380615234375</c:v>
                </c:pt>
                <c:pt idx="3">
                  <c:v>139.30677795410156</c:v>
                </c:pt>
              </c:numCache>
            </c:numRef>
          </c:xVal>
          <c:yVal>
            <c:numRef>
              <c:f>EQUATION_SHEET!$B$238:$B$241</c:f>
              <c:numCache>
                <c:formatCode>0.00000</c:formatCode>
                <c:ptCount val="4"/>
                <c:pt idx="0">
                  <c:v>0.75871664442728559</c:v>
                </c:pt>
                <c:pt idx="1">
                  <c:v>0.76355168678197216</c:v>
                </c:pt>
                <c:pt idx="2">
                  <c:v>0.77531046165605311</c:v>
                </c:pt>
                <c:pt idx="3">
                  <c:v>0.78115913835959461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0D-4A6D-A4B5-935930E42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544640"/>
        <c:axId val="120558720"/>
      </c:scatterChart>
      <c:valAx>
        <c:axId val="12054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558720"/>
        <c:crosses val="autoZero"/>
        <c:crossBetween val="midCat"/>
      </c:valAx>
      <c:valAx>
        <c:axId val="120558720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54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EQUATION_SHEET!$A$249:$A$252</c:f>
              <c:numCache>
                <c:formatCode>General</c:formatCode>
                <c:ptCount val="4"/>
                <c:pt idx="0">
                  <c:v>152.63787841796875</c:v>
                </c:pt>
                <c:pt idx="1">
                  <c:v>149.55636596679688</c:v>
                </c:pt>
                <c:pt idx="2">
                  <c:v>142.1380615234375</c:v>
                </c:pt>
                <c:pt idx="3">
                  <c:v>139.30677795410156</c:v>
                </c:pt>
              </c:numCache>
            </c:numRef>
          </c:xVal>
          <c:yVal>
            <c:numRef>
              <c:f>EQUATION_SHEET!$B$249:$B$252</c:f>
              <c:numCache>
                <c:formatCode>0.00000</c:formatCode>
                <c:ptCount val="4"/>
                <c:pt idx="0">
                  <c:v>530</c:v>
                </c:pt>
                <c:pt idx="1">
                  <c:v>536</c:v>
                </c:pt>
                <c:pt idx="2">
                  <c:v>538</c:v>
                </c:pt>
                <c:pt idx="3">
                  <c:v>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A4A-BBA7-57EBE3AF5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579200"/>
        <c:axId val="120580736"/>
      </c:scatterChart>
      <c:valAx>
        <c:axId val="12057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580736"/>
        <c:crosses val="autoZero"/>
        <c:crossBetween val="midCat"/>
      </c:valAx>
      <c:valAx>
        <c:axId val="120580736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57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EQUATION_SHEET!$A$264:$A$267</c:f>
              <c:numCache>
                <c:formatCode>General</c:formatCode>
                <c:ptCount val="4"/>
                <c:pt idx="0">
                  <c:v>153.41055297851563</c:v>
                </c:pt>
                <c:pt idx="1">
                  <c:v>150.5242919921875</c:v>
                </c:pt>
                <c:pt idx="2">
                  <c:v>144.125</c:v>
                </c:pt>
                <c:pt idx="3">
                  <c:v>141.49453735351563</c:v>
                </c:pt>
              </c:numCache>
            </c:numRef>
          </c:xVal>
          <c:yVal>
            <c:numRef>
              <c:f>EQUATION_SHEET!$B$264:$B$267</c:f>
              <c:numCache>
                <c:formatCode>0.00000</c:formatCode>
                <c:ptCount val="4"/>
                <c:pt idx="0">
                  <c:v>0.76455527668130041</c:v>
                </c:pt>
                <c:pt idx="1">
                  <c:v>0.77026308800214094</c:v>
                </c:pt>
                <c:pt idx="2">
                  <c:v>0.77853343265530139</c:v>
                </c:pt>
                <c:pt idx="3">
                  <c:v>0.77883661206864763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4B-48C1-B95B-DF20BB747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593408"/>
        <c:axId val="120619776"/>
      </c:scatterChart>
      <c:valAx>
        <c:axId val="12059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619776"/>
        <c:crosses val="autoZero"/>
        <c:crossBetween val="midCat"/>
      </c:valAx>
      <c:valAx>
        <c:axId val="120619776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59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EQUATION_SHEET!$A$275:$A$278</c:f>
              <c:numCache>
                <c:formatCode>General</c:formatCode>
                <c:ptCount val="4"/>
                <c:pt idx="0">
                  <c:v>153.41055297851563</c:v>
                </c:pt>
                <c:pt idx="1">
                  <c:v>150.5242919921875</c:v>
                </c:pt>
                <c:pt idx="2">
                  <c:v>144.125</c:v>
                </c:pt>
                <c:pt idx="3">
                  <c:v>141.49453735351563</c:v>
                </c:pt>
              </c:numCache>
            </c:numRef>
          </c:xVal>
          <c:yVal>
            <c:numRef>
              <c:f>EQUATION_SHEET!$B$275:$B$278</c:f>
              <c:numCache>
                <c:formatCode>0.00000</c:formatCode>
                <c:ptCount val="4"/>
                <c:pt idx="0">
                  <c:v>527</c:v>
                </c:pt>
                <c:pt idx="1">
                  <c:v>529</c:v>
                </c:pt>
                <c:pt idx="2">
                  <c:v>529</c:v>
                </c:pt>
                <c:pt idx="3">
                  <c:v>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A4-4A79-89BD-BAD5D7BC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48448"/>
        <c:axId val="120649984"/>
      </c:scatterChart>
      <c:valAx>
        <c:axId val="12064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649984"/>
        <c:crosses val="autoZero"/>
        <c:crossBetween val="midCat"/>
      </c:valAx>
      <c:valAx>
        <c:axId val="120649984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064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EQUATION_SHEET!$A$290:$A$293</c:f>
              <c:numCache>
                <c:formatCode>General</c:formatCode>
                <c:ptCount val="4"/>
                <c:pt idx="0">
                  <c:v>153.31648254394531</c:v>
                </c:pt>
                <c:pt idx="1">
                  <c:v>150.05001831054688</c:v>
                </c:pt>
                <c:pt idx="2">
                  <c:v>143.89689636230469</c:v>
                </c:pt>
                <c:pt idx="3">
                  <c:v>140.67849731445313</c:v>
                </c:pt>
              </c:numCache>
            </c:numRef>
          </c:xVal>
          <c:yVal>
            <c:numRef>
              <c:f>EQUATION_SHEET!$B$290:$B$293</c:f>
              <c:numCache>
                <c:formatCode>0.00000</c:formatCode>
                <c:ptCount val="4"/>
                <c:pt idx="0">
                  <c:v>0.76367955648573627</c:v>
                </c:pt>
                <c:pt idx="1">
                  <c:v>0.76806272281846122</c:v>
                </c:pt>
                <c:pt idx="2">
                  <c:v>0.77610669166942281</c:v>
                </c:pt>
                <c:pt idx="3">
                  <c:v>0.78025612218268525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BE-4E69-AAD7-4B0D501B4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92768"/>
        <c:axId val="121806848"/>
      </c:scatterChart>
      <c:valAx>
        <c:axId val="12179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806848"/>
        <c:crosses val="autoZero"/>
        <c:crossBetween val="midCat"/>
      </c:valAx>
      <c:valAx>
        <c:axId val="121806848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179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EQUATION_SHEET!$A$301:$A$304</c:f>
              <c:numCache>
                <c:formatCode>General</c:formatCode>
                <c:ptCount val="4"/>
                <c:pt idx="0">
                  <c:v>153.31648254394531</c:v>
                </c:pt>
                <c:pt idx="1">
                  <c:v>150.05001831054688</c:v>
                </c:pt>
                <c:pt idx="2">
                  <c:v>143.89689636230469</c:v>
                </c:pt>
                <c:pt idx="3">
                  <c:v>140.67849731445313</c:v>
                </c:pt>
              </c:numCache>
            </c:numRef>
          </c:xVal>
          <c:yVal>
            <c:numRef>
              <c:f>EQUATION_SHEET!$B$301:$B$304</c:f>
              <c:numCache>
                <c:formatCode>0.00000</c:formatCode>
                <c:ptCount val="4"/>
                <c:pt idx="0">
                  <c:v>471</c:v>
                </c:pt>
                <c:pt idx="1">
                  <c:v>473</c:v>
                </c:pt>
                <c:pt idx="2">
                  <c:v>474</c:v>
                </c:pt>
                <c:pt idx="3">
                  <c:v>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A4-4B68-ABCB-B5C84AE9F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31424"/>
        <c:axId val="121832960"/>
      </c:scatterChart>
      <c:valAx>
        <c:axId val="12183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832960"/>
        <c:crosses val="autoZero"/>
        <c:crossBetween val="midCat"/>
      </c:valAx>
      <c:valAx>
        <c:axId val="121832960"/>
        <c:scaling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2183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12</xdr:row>
          <xdr:rowOff>152400</xdr:rowOff>
        </xdr:from>
        <xdr:to>
          <xdr:col>3</xdr:col>
          <xdr:colOff>752475</xdr:colOff>
          <xdr:row>15</xdr:row>
          <xdr:rowOff>47625</xdr:rowOff>
        </xdr:to>
        <xdr:sp macro="" textlink="">
          <xdr:nvSpPr>
            <xdr:cNvPr id="3117" name="CommandButton11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904875</xdr:colOff>
          <xdr:row>21</xdr:row>
          <xdr:rowOff>66675</xdr:rowOff>
        </xdr:to>
        <xdr:sp macro="" textlink="">
          <xdr:nvSpPr>
            <xdr:cNvPr id="3126" name="Asabtcp1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904875</xdr:colOff>
          <xdr:row>21</xdr:row>
          <xdr:rowOff>66675</xdr:rowOff>
        </xdr:to>
        <xdr:sp macro="" textlink="">
          <xdr:nvSpPr>
            <xdr:cNvPr id="3129" name="Asabtcp2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18</xdr:row>
          <xdr:rowOff>0</xdr:rowOff>
        </xdr:from>
        <xdr:to>
          <xdr:col>3</xdr:col>
          <xdr:colOff>962025</xdr:colOff>
          <xdr:row>21</xdr:row>
          <xdr:rowOff>76200</xdr:rowOff>
        </xdr:to>
        <xdr:sp macro="" textlink="">
          <xdr:nvSpPr>
            <xdr:cNvPr id="3131" name="Asabtcp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21</xdr:row>
          <xdr:rowOff>123825</xdr:rowOff>
        </xdr:from>
        <xdr:to>
          <xdr:col>3</xdr:col>
          <xdr:colOff>19050</xdr:colOff>
          <xdr:row>26</xdr:row>
          <xdr:rowOff>19050</xdr:rowOff>
        </xdr:to>
        <xdr:sp macro="" textlink="">
          <xdr:nvSpPr>
            <xdr:cNvPr id="3133" name="Asabtcp4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5</xdr:row>
      <xdr:rowOff>28575</xdr:rowOff>
    </xdr:from>
    <xdr:to>
      <xdr:col>9</xdr:col>
      <xdr:colOff>800100</xdr:colOff>
      <xdr:row>28</xdr:row>
      <xdr:rowOff>38100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32</xdr:row>
      <xdr:rowOff>133350</xdr:rowOff>
    </xdr:from>
    <xdr:to>
      <xdr:col>8</xdr:col>
      <xdr:colOff>447675</xdr:colOff>
      <xdr:row>32</xdr:row>
      <xdr:rowOff>133350</xdr:rowOff>
    </xdr:to>
    <xdr:sp macro="" textlink="">
      <xdr:nvSpPr>
        <xdr:cNvPr id="5" name="Lin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4352925" y="647700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85725</xdr:colOff>
      <xdr:row>33</xdr:row>
      <xdr:rowOff>104775</xdr:rowOff>
    </xdr:from>
    <xdr:to>
      <xdr:col>8</xdr:col>
      <xdr:colOff>419100</xdr:colOff>
      <xdr:row>33</xdr:row>
      <xdr:rowOff>104775</xdr:rowOff>
    </xdr:to>
    <xdr:sp macro="" textlink="">
      <xdr:nvSpPr>
        <xdr:cNvPr id="6" name="Line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>
          <a:off x="4324350" y="661035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85725</xdr:colOff>
      <xdr:row>34</xdr:row>
      <xdr:rowOff>123825</xdr:rowOff>
    </xdr:from>
    <xdr:to>
      <xdr:col>8</xdr:col>
      <xdr:colOff>419100</xdr:colOff>
      <xdr:row>34</xdr:row>
      <xdr:rowOff>123825</xdr:rowOff>
    </xdr:to>
    <xdr:sp macro="" textlink="">
      <xdr:nvSpPr>
        <xdr:cNvPr id="7" name="Line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>
          <a:off x="4324350" y="679132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85725</xdr:colOff>
      <xdr:row>35</xdr:row>
      <xdr:rowOff>104775</xdr:rowOff>
    </xdr:from>
    <xdr:to>
      <xdr:col>8</xdr:col>
      <xdr:colOff>419100</xdr:colOff>
      <xdr:row>35</xdr:row>
      <xdr:rowOff>104775</xdr:rowOff>
    </xdr:to>
    <xdr:sp macro="" textlink="">
      <xdr:nvSpPr>
        <xdr:cNvPr id="8" name="Line 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>
          <a:off x="4324350" y="693420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85725</xdr:colOff>
      <xdr:row>36</xdr:row>
      <xdr:rowOff>123825</xdr:rowOff>
    </xdr:from>
    <xdr:to>
      <xdr:col>8</xdr:col>
      <xdr:colOff>419100</xdr:colOff>
      <xdr:row>36</xdr:row>
      <xdr:rowOff>123825</xdr:rowOff>
    </xdr:to>
    <xdr:sp macro="" textlink="">
      <xdr:nvSpPr>
        <xdr:cNvPr id="9" name="Line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4324350" y="71151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85725</xdr:colOff>
      <xdr:row>37</xdr:row>
      <xdr:rowOff>104775</xdr:rowOff>
    </xdr:from>
    <xdr:to>
      <xdr:col>8</xdr:col>
      <xdr:colOff>419100</xdr:colOff>
      <xdr:row>37</xdr:row>
      <xdr:rowOff>104775</xdr:rowOff>
    </xdr:to>
    <xdr:sp macro="" textlink="">
      <xdr:nvSpPr>
        <xdr:cNvPr id="10" name="Line 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>
          <a:off x="4324350" y="725805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85725</xdr:colOff>
      <xdr:row>38</xdr:row>
      <xdr:rowOff>104775</xdr:rowOff>
    </xdr:from>
    <xdr:to>
      <xdr:col>8</xdr:col>
      <xdr:colOff>419100</xdr:colOff>
      <xdr:row>38</xdr:row>
      <xdr:rowOff>104775</xdr:rowOff>
    </xdr:to>
    <xdr:sp macro="" textlink="">
      <xdr:nvSpPr>
        <xdr:cNvPr id="11" name="Line 16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>
          <a:off x="4324350" y="7419975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85725</xdr:colOff>
      <xdr:row>39</xdr:row>
      <xdr:rowOff>104775</xdr:rowOff>
    </xdr:from>
    <xdr:to>
      <xdr:col>8</xdr:col>
      <xdr:colOff>419100</xdr:colOff>
      <xdr:row>39</xdr:row>
      <xdr:rowOff>104775</xdr:rowOff>
    </xdr:to>
    <xdr:sp macro="" textlink="">
      <xdr:nvSpPr>
        <xdr:cNvPr id="12" name="Line 17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>
          <a:off x="4324350" y="7581900"/>
          <a:ext cx="333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9525</xdr:colOff>
      <xdr:row>2</xdr:row>
      <xdr:rowOff>142875</xdr:rowOff>
    </xdr:from>
    <xdr:ext cx="591671" cy="2883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4143375" y="466725"/>
              <a:ext cx="591671" cy="2883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1" i="1">
                            <a:latin typeface="Cambria Math"/>
                          </a:rPr>
                          <m:t>𝑹</m:t>
                        </m:r>
                      </m:e>
                      <m:sup>
                        <m:r>
                          <a:rPr lang="en-US" sz="1200" b="1" i="1">
                            <a:latin typeface="Cambria Math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n-US" sz="1200" b="1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4143375" y="466725"/>
              <a:ext cx="591671" cy="2883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𝑹^𝟐</a:t>
              </a:r>
              <a:endParaRPr lang="en-US" sz="1200" b="1"/>
            </a:p>
          </xdr:txBody>
        </xdr:sp>
      </mc:Fallback>
    </mc:AlternateContent>
    <xdr:clientData/>
  </xdr:oneCellAnchor>
  <xdr:oneCellAnchor>
    <xdr:from>
      <xdr:col>3</xdr:col>
      <xdr:colOff>685800</xdr:colOff>
      <xdr:row>2</xdr:row>
      <xdr:rowOff>133350</xdr:rowOff>
    </xdr:from>
    <xdr:ext cx="1181099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133725" y="457200"/>
              <a:ext cx="1181099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200" b="1" i="0">
                      <a:latin typeface="Cambria Math"/>
                    </a:rPr>
                    <m:t>𝐑𝐚𝐧𝐠𝐞</m:t>
                  </m:r>
                  <m:r>
                    <a:rPr lang="en-US" sz="1200" b="1" i="1">
                      <a:latin typeface="Cambria Math"/>
                    </a:rPr>
                    <m:t> </m:t>
                  </m:r>
                  <m:sSub>
                    <m:sSubPr>
                      <m:ctrlPr>
                        <a:rPr lang="en-US" sz="1200" b="1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1" i="1">
                          <a:latin typeface="Cambria Math"/>
                        </a:rPr>
                        <m:t>𝒕</m:t>
                      </m:r>
                    </m:e>
                    <m:sub>
                      <m:r>
                        <a:rPr lang="en-US" sz="1200" b="1" i="1">
                          <a:latin typeface="Cambria Math"/>
                        </a:rPr>
                        <m:t>𝒄</m:t>
                      </m:r>
                    </m:sub>
                  </m:sSub>
                </m:oMath>
              </a14:m>
              <a:r>
                <a:rPr lang="en-US" sz="1200" b="1"/>
                <a:t>  (</a:t>
              </a:r>
              <a14:m>
                <m:oMath xmlns:m="http://schemas.openxmlformats.org/officeDocument/2006/math">
                  <m:r>
                    <a:rPr lang="en-US" sz="1100" b="1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𝝁</m:t>
                  </m:r>
                  <m:r>
                    <a:rPr lang="en-US" sz="1100" b="1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𝒔</m:t>
                  </m:r>
                </m:oMath>
              </a14:m>
              <a:r>
                <a:rPr lang="en-US" sz="1200" b="1"/>
                <a:t>)</a:t>
              </a: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133725" y="457200"/>
              <a:ext cx="1181099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 i="0">
                  <a:latin typeface="Cambria Math"/>
                </a:rPr>
                <a:t>𝐑𝐚𝐧𝐠𝐞 𝒕_𝒄</a:t>
              </a:r>
              <a:r>
                <a:rPr lang="en-US" sz="1200" b="1"/>
                <a:t>  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𝝁𝒔</a:t>
              </a:r>
              <a:r>
                <a:rPr lang="en-US" sz="1200" b="1"/>
                <a:t>)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9525</xdr:colOff>
      <xdr:row>2</xdr:row>
      <xdr:rowOff>142875</xdr:rowOff>
    </xdr:from>
    <xdr:ext cx="591671" cy="2883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4181475" y="466725"/>
              <a:ext cx="591671" cy="2883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1" i="1">
                            <a:latin typeface="Cambria Math"/>
                          </a:rPr>
                          <m:t>𝑹</m:t>
                        </m:r>
                      </m:e>
                      <m:sup>
                        <m:r>
                          <a:rPr lang="en-US" sz="1200" b="1" i="1">
                            <a:latin typeface="Cambria Math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n-US" sz="1200" b="1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D4BA41E-3FD7-4254-8791-CECDE2472ED6}"/>
                </a:ext>
              </a:extLst>
            </xdr:cNvPr>
            <xdr:cNvSpPr txBox="1"/>
          </xdr:nvSpPr>
          <xdr:spPr>
            <a:xfrm>
              <a:off x="4181475" y="466725"/>
              <a:ext cx="591671" cy="2883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𝑹</a:t>
              </a:r>
              <a:r>
                <a:rPr lang="en-US" sz="1200" b="1" i="0">
                  <a:latin typeface="Cambria Math" panose="02040503050406030204" pitchFamily="18" charset="0"/>
                </a:rPr>
                <a:t>^</a:t>
              </a:r>
              <a:r>
                <a:rPr lang="en-US" sz="1200" b="1" i="0">
                  <a:latin typeface="Cambria Math"/>
                </a:rPr>
                <a:t>𝟐</a:t>
              </a:r>
              <a:endParaRPr lang="en-US" sz="1200" b="1"/>
            </a:p>
          </xdr:txBody>
        </xdr:sp>
      </mc:Fallback>
    </mc:AlternateContent>
    <xdr:clientData/>
  </xdr:oneCellAnchor>
  <xdr:oneCellAnchor>
    <xdr:from>
      <xdr:col>3</xdr:col>
      <xdr:colOff>685800</xdr:colOff>
      <xdr:row>2</xdr:row>
      <xdr:rowOff>133350</xdr:rowOff>
    </xdr:from>
    <xdr:ext cx="1181099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133725" y="457200"/>
              <a:ext cx="1181099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lang="en-US" sz="1200" b="1" i="0">
                      <a:latin typeface="Cambria Math"/>
                    </a:rPr>
                    <m:t>𝐑𝐚𝐧𝐠𝐞</m:t>
                  </m:r>
                  <m:r>
                    <a:rPr lang="en-US" sz="1200" b="1" i="1">
                      <a:latin typeface="Cambria Math"/>
                    </a:rPr>
                    <m:t> </m:t>
                  </m:r>
                  <m:sSub>
                    <m:sSubPr>
                      <m:ctrlPr>
                        <a:rPr lang="en-US" sz="1200" b="1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1" i="1">
                          <a:latin typeface="Cambria Math"/>
                        </a:rPr>
                        <m:t>𝒕</m:t>
                      </m:r>
                    </m:e>
                    <m:sub>
                      <m:r>
                        <a:rPr lang="en-US" sz="1200" b="1" i="1">
                          <a:latin typeface="Cambria Math"/>
                        </a:rPr>
                        <m:t>𝒄</m:t>
                      </m:r>
                    </m:sub>
                  </m:sSub>
                </m:oMath>
              </a14:m>
              <a:r>
                <a:rPr lang="en-US" sz="1200" b="1"/>
                <a:t>  (</a:t>
              </a:r>
              <a14:m>
                <m:oMath xmlns:m="http://schemas.openxmlformats.org/officeDocument/2006/math">
                  <m:r>
                    <a:rPr lang="en-US" sz="1100" b="1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𝝁</m:t>
                  </m:r>
                  <m:r>
                    <a:rPr lang="en-US" sz="1100" b="1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𝒔</m:t>
                  </m:r>
                </m:oMath>
              </a14:m>
              <a:r>
                <a:rPr lang="en-US" sz="1200" b="1"/>
                <a:t>)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DFD1F03-B27E-4BBA-B911-227E975B7898}"/>
                </a:ext>
              </a:extLst>
            </xdr:cNvPr>
            <xdr:cNvSpPr txBox="1"/>
          </xdr:nvSpPr>
          <xdr:spPr>
            <a:xfrm>
              <a:off x="3133725" y="457200"/>
              <a:ext cx="1181099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 i="0">
                  <a:latin typeface="Cambria Math"/>
                </a:rPr>
                <a:t>𝐑𝐚𝐧𝐠𝐞 𝒕</a:t>
              </a:r>
              <a:r>
                <a:rPr lang="en-US" sz="1200" b="1" i="0">
                  <a:latin typeface="Cambria Math" panose="02040503050406030204" pitchFamily="18" charset="0"/>
                </a:rPr>
                <a:t>_</a:t>
              </a:r>
              <a:r>
                <a:rPr lang="en-US" sz="1200" b="1" i="0">
                  <a:latin typeface="Cambria Math"/>
                </a:rPr>
                <a:t>𝒄</a:t>
              </a:r>
              <a:r>
                <a:rPr lang="en-US" sz="1200" b="1"/>
                <a:t>  (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𝝁𝒔</a:t>
              </a:r>
              <a:r>
                <a:rPr lang="en-US" sz="1200" b="1"/>
                <a:t>)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235341</xdr:colOff>
      <xdr:row>3</xdr:row>
      <xdr:rowOff>14474</xdr:rowOff>
    </xdr:from>
    <xdr:to>
      <xdr:col>7</xdr:col>
      <xdr:colOff>266700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228600</xdr:colOff>
      <xdr:row>14</xdr:row>
      <xdr:rowOff>19050</xdr:rowOff>
    </xdr:from>
    <xdr:to>
      <xdr:col>7</xdr:col>
      <xdr:colOff>266700</xdr:colOff>
      <xdr:row>25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235341</xdr:colOff>
      <xdr:row>29</xdr:row>
      <xdr:rowOff>14474</xdr:rowOff>
    </xdr:from>
    <xdr:to>
      <xdr:col>7</xdr:col>
      <xdr:colOff>266700</xdr:colOff>
      <xdr:row>39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228600</xdr:colOff>
      <xdr:row>40</xdr:row>
      <xdr:rowOff>19050</xdr:rowOff>
    </xdr:from>
    <xdr:to>
      <xdr:col>7</xdr:col>
      <xdr:colOff>266700</xdr:colOff>
      <xdr:row>51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235341</xdr:colOff>
      <xdr:row>55</xdr:row>
      <xdr:rowOff>14474</xdr:rowOff>
    </xdr:from>
    <xdr:to>
      <xdr:col>7</xdr:col>
      <xdr:colOff>266700</xdr:colOff>
      <xdr:row>65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66</xdr:row>
      <xdr:rowOff>19050</xdr:rowOff>
    </xdr:from>
    <xdr:to>
      <xdr:col>7</xdr:col>
      <xdr:colOff>266700</xdr:colOff>
      <xdr:row>77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235341</xdr:colOff>
      <xdr:row>81</xdr:row>
      <xdr:rowOff>14474</xdr:rowOff>
    </xdr:from>
    <xdr:to>
      <xdr:col>7</xdr:col>
      <xdr:colOff>266700</xdr:colOff>
      <xdr:row>91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228600</xdr:colOff>
      <xdr:row>92</xdr:row>
      <xdr:rowOff>19050</xdr:rowOff>
    </xdr:from>
    <xdr:to>
      <xdr:col>7</xdr:col>
      <xdr:colOff>266700</xdr:colOff>
      <xdr:row>103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235341</xdr:colOff>
      <xdr:row>107</xdr:row>
      <xdr:rowOff>14474</xdr:rowOff>
    </xdr:from>
    <xdr:to>
      <xdr:col>7</xdr:col>
      <xdr:colOff>266700</xdr:colOff>
      <xdr:row>117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228600</xdr:colOff>
      <xdr:row>118</xdr:row>
      <xdr:rowOff>19050</xdr:rowOff>
    </xdr:from>
    <xdr:to>
      <xdr:col>7</xdr:col>
      <xdr:colOff>266700</xdr:colOff>
      <xdr:row>129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235341</xdr:colOff>
      <xdr:row>133</xdr:row>
      <xdr:rowOff>14474</xdr:rowOff>
    </xdr:from>
    <xdr:to>
      <xdr:col>7</xdr:col>
      <xdr:colOff>266700</xdr:colOff>
      <xdr:row>143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228600</xdr:colOff>
      <xdr:row>144</xdr:row>
      <xdr:rowOff>19050</xdr:rowOff>
    </xdr:from>
    <xdr:to>
      <xdr:col>7</xdr:col>
      <xdr:colOff>266700</xdr:colOff>
      <xdr:row>155</xdr:row>
      <xdr:rowOff>9525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235341</xdr:colOff>
      <xdr:row>159</xdr:row>
      <xdr:rowOff>14474</xdr:rowOff>
    </xdr:from>
    <xdr:to>
      <xdr:col>7</xdr:col>
      <xdr:colOff>266700</xdr:colOff>
      <xdr:row>169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228600</xdr:colOff>
      <xdr:row>170</xdr:row>
      <xdr:rowOff>19050</xdr:rowOff>
    </xdr:from>
    <xdr:to>
      <xdr:col>7</xdr:col>
      <xdr:colOff>266700</xdr:colOff>
      <xdr:row>181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235341</xdr:colOff>
      <xdr:row>185</xdr:row>
      <xdr:rowOff>14474</xdr:rowOff>
    </xdr:from>
    <xdr:to>
      <xdr:col>7</xdr:col>
      <xdr:colOff>266700</xdr:colOff>
      <xdr:row>195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228600</xdr:colOff>
      <xdr:row>196</xdr:row>
      <xdr:rowOff>19050</xdr:rowOff>
    </xdr:from>
    <xdr:to>
      <xdr:col>7</xdr:col>
      <xdr:colOff>266700</xdr:colOff>
      <xdr:row>207</xdr:row>
      <xdr:rowOff>9525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235341</xdr:colOff>
      <xdr:row>211</xdr:row>
      <xdr:rowOff>14474</xdr:rowOff>
    </xdr:from>
    <xdr:to>
      <xdr:col>7</xdr:col>
      <xdr:colOff>266700</xdr:colOff>
      <xdr:row>221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228600</xdr:colOff>
      <xdr:row>222</xdr:row>
      <xdr:rowOff>19050</xdr:rowOff>
    </xdr:from>
    <xdr:to>
      <xdr:col>7</xdr:col>
      <xdr:colOff>266700</xdr:colOff>
      <xdr:row>233</xdr:row>
      <xdr:rowOff>9525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235341</xdr:colOff>
      <xdr:row>237</xdr:row>
      <xdr:rowOff>14474</xdr:rowOff>
    </xdr:from>
    <xdr:to>
      <xdr:col>7</xdr:col>
      <xdr:colOff>266700</xdr:colOff>
      <xdr:row>247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228600</xdr:colOff>
      <xdr:row>248</xdr:row>
      <xdr:rowOff>19050</xdr:rowOff>
    </xdr:from>
    <xdr:to>
      <xdr:col>7</xdr:col>
      <xdr:colOff>266700</xdr:colOff>
      <xdr:row>259</xdr:row>
      <xdr:rowOff>9525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235341</xdr:colOff>
      <xdr:row>263</xdr:row>
      <xdr:rowOff>14474</xdr:rowOff>
    </xdr:from>
    <xdr:to>
      <xdr:col>7</xdr:col>
      <xdr:colOff>266700</xdr:colOff>
      <xdr:row>273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228600</xdr:colOff>
      <xdr:row>274</xdr:row>
      <xdr:rowOff>19050</xdr:rowOff>
    </xdr:from>
    <xdr:to>
      <xdr:col>7</xdr:col>
      <xdr:colOff>266700</xdr:colOff>
      <xdr:row>285</xdr:row>
      <xdr:rowOff>9525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235341</xdr:colOff>
      <xdr:row>289</xdr:row>
      <xdr:rowOff>14474</xdr:rowOff>
    </xdr:from>
    <xdr:to>
      <xdr:col>7</xdr:col>
      <xdr:colOff>266700</xdr:colOff>
      <xdr:row>299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228600</xdr:colOff>
      <xdr:row>300</xdr:row>
      <xdr:rowOff>19050</xdr:rowOff>
    </xdr:from>
    <xdr:to>
      <xdr:col>7</xdr:col>
      <xdr:colOff>266700</xdr:colOff>
      <xdr:row>311</xdr:row>
      <xdr:rowOff>9525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1</xdr:col>
      <xdr:colOff>58272</xdr:colOff>
      <xdr:row>64</xdr:row>
      <xdr:rowOff>153519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 txBox="1"/>
          </xdr:nvSpPr>
          <xdr:spPr>
            <a:xfrm>
              <a:off x="719419" y="12267078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27" name="TextBox 26"/>
            <xdr:cNvSpPr txBox="1"/>
          </xdr:nvSpPr>
          <xdr:spPr>
            <a:xfrm>
              <a:off x="719419" y="12267078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64</xdr:row>
      <xdr:rowOff>160243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 txBox="1"/>
          </xdr:nvSpPr>
          <xdr:spPr>
            <a:xfrm>
              <a:off x="0" y="12273802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0" y="12273802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87407</xdr:colOff>
      <xdr:row>63</xdr:row>
      <xdr:rowOff>171449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5623113" y="12094508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5623113" y="12094508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0</xdr:col>
      <xdr:colOff>0</xdr:colOff>
      <xdr:row>53</xdr:row>
      <xdr:rowOff>110938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0" y="10162614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>
              <a:off x="0" y="10162614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358587</xdr:colOff>
      <xdr:row>70</xdr:row>
      <xdr:rowOff>156883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 txBox="1"/>
          </xdr:nvSpPr>
          <xdr:spPr>
            <a:xfrm>
              <a:off x="358587" y="13424648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35" name="TextBox 34"/>
            <xdr:cNvSpPr txBox="1"/>
          </xdr:nvSpPr>
          <xdr:spPr>
            <a:xfrm>
              <a:off x="358587" y="13424648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1</xdr:col>
      <xdr:colOff>11207</xdr:colOff>
      <xdr:row>12</xdr:row>
      <xdr:rowOff>145677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 txBox="1"/>
          </xdr:nvSpPr>
          <xdr:spPr>
            <a:xfrm>
              <a:off x="717178" y="2409265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36" name="TextBox 35"/>
            <xdr:cNvSpPr txBox="1"/>
          </xdr:nvSpPr>
          <xdr:spPr>
            <a:xfrm>
              <a:off x="717178" y="2409265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</xdr:row>
      <xdr:rowOff>112059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0" y="313765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37" name="TextBox 36"/>
            <xdr:cNvSpPr txBox="1"/>
          </xdr:nvSpPr>
          <xdr:spPr>
            <a:xfrm>
              <a:off x="0" y="313765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12</xdr:row>
      <xdr:rowOff>129989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 txBox="1"/>
          </xdr:nvSpPr>
          <xdr:spPr>
            <a:xfrm>
              <a:off x="0" y="2393577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38" name="TextBox 37"/>
            <xdr:cNvSpPr txBox="1"/>
          </xdr:nvSpPr>
          <xdr:spPr>
            <a:xfrm>
              <a:off x="0" y="2393577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1</xdr:col>
      <xdr:colOff>11207</xdr:colOff>
      <xdr:row>38</xdr:row>
      <xdr:rowOff>152401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7178" y="7357783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39" name="TextBox 38"/>
            <xdr:cNvSpPr txBox="1"/>
          </xdr:nvSpPr>
          <xdr:spPr>
            <a:xfrm>
              <a:off x="717178" y="7357783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27</xdr:row>
      <xdr:rowOff>118783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0" y="5262283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40" name="TextBox 39"/>
            <xdr:cNvSpPr txBox="1"/>
          </xdr:nvSpPr>
          <xdr:spPr>
            <a:xfrm>
              <a:off x="0" y="5262283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38</xdr:row>
      <xdr:rowOff>136713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0" y="7342095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41" name="TextBox 40"/>
            <xdr:cNvSpPr txBox="1"/>
          </xdr:nvSpPr>
          <xdr:spPr>
            <a:xfrm>
              <a:off x="0" y="7342095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18</xdr:row>
      <xdr:rowOff>156882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358588" y="3563470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42" name="TextBox 41"/>
            <xdr:cNvSpPr txBox="1"/>
          </xdr:nvSpPr>
          <xdr:spPr>
            <a:xfrm>
              <a:off x="358588" y="3563470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358589</xdr:colOff>
      <xdr:row>44</xdr:row>
      <xdr:rowOff>156882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358589" y="8516470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43" name="TextBox 42"/>
            <xdr:cNvSpPr txBox="1"/>
          </xdr:nvSpPr>
          <xdr:spPr>
            <a:xfrm>
              <a:off x="358589" y="8516470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11</xdr:row>
      <xdr:rowOff>168088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5670177" y="2241176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44" name="TextBox 43"/>
            <xdr:cNvSpPr txBox="1"/>
          </xdr:nvSpPr>
          <xdr:spPr>
            <a:xfrm>
              <a:off x="5670177" y="2241176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90</xdr:row>
      <xdr:rowOff>156882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17178" y="17178617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45" name="TextBox 44"/>
            <xdr:cNvSpPr txBox="1"/>
          </xdr:nvSpPr>
          <xdr:spPr>
            <a:xfrm>
              <a:off x="717178" y="17178617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79</xdr:row>
      <xdr:rowOff>123264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0" y="15083117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46" name="TextBox 45"/>
            <xdr:cNvSpPr txBox="1"/>
          </xdr:nvSpPr>
          <xdr:spPr>
            <a:xfrm>
              <a:off x="0" y="15083117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90</xdr:row>
      <xdr:rowOff>141194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0" y="17162929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47" name="TextBox 46"/>
            <xdr:cNvSpPr txBox="1"/>
          </xdr:nvSpPr>
          <xdr:spPr>
            <a:xfrm>
              <a:off x="0" y="17162929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96</xdr:row>
      <xdr:rowOff>156881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358588" y="18332822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48" name="TextBox 47"/>
            <xdr:cNvSpPr txBox="1"/>
          </xdr:nvSpPr>
          <xdr:spPr>
            <a:xfrm>
              <a:off x="358588" y="18332822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89</xdr:row>
      <xdr:rowOff>179293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5670177" y="17010528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49" name="TextBox 48"/>
            <xdr:cNvSpPr txBox="1"/>
          </xdr:nvSpPr>
          <xdr:spPr>
            <a:xfrm>
              <a:off x="5670177" y="17010528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116</xdr:row>
      <xdr:rowOff>145677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SpPr txBox="1"/>
          </xdr:nvSpPr>
          <xdr:spPr>
            <a:xfrm>
              <a:off x="717178" y="22299706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50" name="TextBox 49"/>
            <xdr:cNvSpPr txBox="1"/>
          </xdr:nvSpPr>
          <xdr:spPr>
            <a:xfrm>
              <a:off x="717178" y="22299706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106</xdr:row>
      <xdr:rowOff>33618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SpPr txBox="1"/>
          </xdr:nvSpPr>
          <xdr:spPr>
            <a:xfrm>
              <a:off x="0" y="20204206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51" name="TextBox 50"/>
            <xdr:cNvSpPr txBox="1"/>
          </xdr:nvSpPr>
          <xdr:spPr>
            <a:xfrm>
              <a:off x="0" y="20204206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116</xdr:row>
      <xdr:rowOff>129989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0" y="22284018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52" name="TextBox 51"/>
            <xdr:cNvSpPr txBox="1"/>
          </xdr:nvSpPr>
          <xdr:spPr>
            <a:xfrm>
              <a:off x="0" y="22284018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122</xdr:row>
      <xdr:rowOff>156882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358588" y="23453911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53" name="TextBox 52"/>
            <xdr:cNvSpPr txBox="1"/>
          </xdr:nvSpPr>
          <xdr:spPr>
            <a:xfrm>
              <a:off x="358588" y="23453911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115</xdr:row>
      <xdr:rowOff>168088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5670177" y="22131617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54" name="TextBox 53"/>
            <xdr:cNvSpPr txBox="1"/>
          </xdr:nvSpPr>
          <xdr:spPr>
            <a:xfrm>
              <a:off x="5670177" y="22131617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142</xdr:row>
      <xdr:rowOff>156882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178" y="27207882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55" name="TextBox 54"/>
            <xdr:cNvSpPr txBox="1"/>
          </xdr:nvSpPr>
          <xdr:spPr>
            <a:xfrm>
              <a:off x="717178" y="27207882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131</xdr:row>
      <xdr:rowOff>123264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0" y="25112382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56" name="TextBox 55"/>
            <xdr:cNvSpPr txBox="1"/>
          </xdr:nvSpPr>
          <xdr:spPr>
            <a:xfrm>
              <a:off x="0" y="25112382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142</xdr:row>
      <xdr:rowOff>141194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0" y="27192194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57" name="TextBox 56"/>
            <xdr:cNvSpPr txBox="1"/>
          </xdr:nvSpPr>
          <xdr:spPr>
            <a:xfrm>
              <a:off x="0" y="27192194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148</xdr:row>
      <xdr:rowOff>168087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358588" y="28362087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58" name="TextBox 57"/>
            <xdr:cNvSpPr txBox="1"/>
          </xdr:nvSpPr>
          <xdr:spPr>
            <a:xfrm>
              <a:off x="358588" y="28362087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141</xdr:row>
      <xdr:rowOff>179293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SpPr txBox="1"/>
          </xdr:nvSpPr>
          <xdr:spPr>
            <a:xfrm>
              <a:off x="5670177" y="27039793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59" name="TextBox 58"/>
            <xdr:cNvSpPr txBox="1"/>
          </xdr:nvSpPr>
          <xdr:spPr>
            <a:xfrm>
              <a:off x="5670177" y="27039793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168</xdr:row>
      <xdr:rowOff>168088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717178" y="32116059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60" name="TextBox 59"/>
            <xdr:cNvSpPr txBox="1"/>
          </xdr:nvSpPr>
          <xdr:spPr>
            <a:xfrm>
              <a:off x="717178" y="32116059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157</xdr:row>
      <xdr:rowOff>134471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0" y="30020559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61" name="TextBox 60"/>
            <xdr:cNvSpPr txBox="1"/>
          </xdr:nvSpPr>
          <xdr:spPr>
            <a:xfrm>
              <a:off x="0" y="30020559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168</xdr:row>
      <xdr:rowOff>152400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0" y="32100371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62" name="TextBox 61"/>
            <xdr:cNvSpPr txBox="1"/>
          </xdr:nvSpPr>
          <xdr:spPr>
            <a:xfrm>
              <a:off x="0" y="32100371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174</xdr:row>
      <xdr:rowOff>179293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358588" y="33270264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63" name="TextBox 62"/>
            <xdr:cNvSpPr txBox="1"/>
          </xdr:nvSpPr>
          <xdr:spPr>
            <a:xfrm>
              <a:off x="358588" y="33270264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100854</xdr:colOff>
      <xdr:row>167</xdr:row>
      <xdr:rowOff>156881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5681383" y="31914352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64" name="TextBox 63"/>
            <xdr:cNvSpPr txBox="1"/>
          </xdr:nvSpPr>
          <xdr:spPr>
            <a:xfrm>
              <a:off x="5681383" y="31914352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194</xdr:row>
      <xdr:rowOff>156882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400-000041000000}"/>
                </a:ext>
              </a:extLst>
            </xdr:cNvPr>
            <xdr:cNvSpPr txBox="1"/>
          </xdr:nvSpPr>
          <xdr:spPr>
            <a:xfrm>
              <a:off x="717178" y="37001823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65" name="TextBox 64"/>
            <xdr:cNvSpPr txBox="1"/>
          </xdr:nvSpPr>
          <xdr:spPr>
            <a:xfrm>
              <a:off x="717178" y="37001823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183</xdr:row>
      <xdr:rowOff>123264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0" y="34906323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66" name="TextBox 65"/>
            <xdr:cNvSpPr txBox="1"/>
          </xdr:nvSpPr>
          <xdr:spPr>
            <a:xfrm>
              <a:off x="0" y="34906323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194</xdr:row>
      <xdr:rowOff>141194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400-000043000000}"/>
                </a:ext>
              </a:extLst>
            </xdr:cNvPr>
            <xdr:cNvSpPr txBox="1"/>
          </xdr:nvSpPr>
          <xdr:spPr>
            <a:xfrm>
              <a:off x="0" y="36986135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67" name="TextBox 66"/>
            <xdr:cNvSpPr txBox="1"/>
          </xdr:nvSpPr>
          <xdr:spPr>
            <a:xfrm>
              <a:off x="0" y="36986135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200</xdr:row>
      <xdr:rowOff>168087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358588" y="38156028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68" name="TextBox 67"/>
            <xdr:cNvSpPr txBox="1"/>
          </xdr:nvSpPr>
          <xdr:spPr>
            <a:xfrm>
              <a:off x="358588" y="38156028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193</xdr:row>
      <xdr:rowOff>179293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0400-000045000000}"/>
                </a:ext>
              </a:extLst>
            </xdr:cNvPr>
            <xdr:cNvSpPr txBox="1"/>
          </xdr:nvSpPr>
          <xdr:spPr>
            <a:xfrm>
              <a:off x="5670177" y="36833734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69" name="TextBox 68"/>
            <xdr:cNvSpPr txBox="1"/>
          </xdr:nvSpPr>
          <xdr:spPr>
            <a:xfrm>
              <a:off x="5670177" y="36833734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220</xdr:row>
      <xdr:rowOff>156882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17178" y="42044470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70" name="TextBox 69"/>
            <xdr:cNvSpPr txBox="1"/>
          </xdr:nvSpPr>
          <xdr:spPr>
            <a:xfrm>
              <a:off x="717178" y="42044470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209</xdr:row>
      <xdr:rowOff>123264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0" y="39948970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71" name="TextBox 70"/>
            <xdr:cNvSpPr txBox="1"/>
          </xdr:nvSpPr>
          <xdr:spPr>
            <a:xfrm>
              <a:off x="0" y="39948970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220</xdr:row>
      <xdr:rowOff>141194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0400-000048000000}"/>
                </a:ext>
              </a:extLst>
            </xdr:cNvPr>
            <xdr:cNvSpPr txBox="1"/>
          </xdr:nvSpPr>
          <xdr:spPr>
            <a:xfrm>
              <a:off x="0" y="42028782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72" name="TextBox 71"/>
            <xdr:cNvSpPr txBox="1"/>
          </xdr:nvSpPr>
          <xdr:spPr>
            <a:xfrm>
              <a:off x="0" y="42028782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226</xdr:row>
      <xdr:rowOff>168087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358588" y="43198675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73" name="TextBox 72"/>
            <xdr:cNvSpPr txBox="1"/>
          </xdr:nvSpPr>
          <xdr:spPr>
            <a:xfrm>
              <a:off x="358588" y="43198675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219</xdr:row>
      <xdr:rowOff>179293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5670177" y="41876381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74" name="TextBox 73"/>
            <xdr:cNvSpPr txBox="1"/>
          </xdr:nvSpPr>
          <xdr:spPr>
            <a:xfrm>
              <a:off x="5670177" y="41876381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246</xdr:row>
      <xdr:rowOff>156882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17178" y="46941441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75" name="TextBox 74"/>
            <xdr:cNvSpPr txBox="1"/>
          </xdr:nvSpPr>
          <xdr:spPr>
            <a:xfrm>
              <a:off x="717178" y="46941441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235</xdr:row>
      <xdr:rowOff>123265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0" y="44845941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76" name="TextBox 75"/>
            <xdr:cNvSpPr txBox="1"/>
          </xdr:nvSpPr>
          <xdr:spPr>
            <a:xfrm>
              <a:off x="0" y="44845941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246</xdr:row>
      <xdr:rowOff>141194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0" y="46925753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77" name="TextBox 76"/>
            <xdr:cNvSpPr txBox="1"/>
          </xdr:nvSpPr>
          <xdr:spPr>
            <a:xfrm>
              <a:off x="0" y="46925753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252</xdr:row>
      <xdr:rowOff>168087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358588" y="48095646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78" name="TextBox 77"/>
            <xdr:cNvSpPr txBox="1"/>
          </xdr:nvSpPr>
          <xdr:spPr>
            <a:xfrm>
              <a:off x="358588" y="48095646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245</xdr:row>
      <xdr:rowOff>156881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5670177" y="46750940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79" name="TextBox 78"/>
            <xdr:cNvSpPr txBox="1"/>
          </xdr:nvSpPr>
          <xdr:spPr>
            <a:xfrm>
              <a:off x="5670177" y="46750940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272</xdr:row>
      <xdr:rowOff>156882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7178" y="51984088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80" name="TextBox 79"/>
            <xdr:cNvSpPr txBox="1"/>
          </xdr:nvSpPr>
          <xdr:spPr>
            <a:xfrm>
              <a:off x="717178" y="51984088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261</xdr:row>
      <xdr:rowOff>123264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0" y="49888588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81" name="TextBox 80"/>
            <xdr:cNvSpPr txBox="1"/>
          </xdr:nvSpPr>
          <xdr:spPr>
            <a:xfrm>
              <a:off x="0" y="49888588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272</xdr:row>
      <xdr:rowOff>141194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0" y="51968400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82" name="TextBox 81"/>
            <xdr:cNvSpPr txBox="1"/>
          </xdr:nvSpPr>
          <xdr:spPr>
            <a:xfrm>
              <a:off x="0" y="51968400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278</xdr:row>
      <xdr:rowOff>168087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358588" y="53138293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83" name="TextBox 82"/>
            <xdr:cNvSpPr txBox="1"/>
          </xdr:nvSpPr>
          <xdr:spPr>
            <a:xfrm>
              <a:off x="358588" y="53138293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271</xdr:row>
      <xdr:rowOff>179293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5670177" y="51815999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84" name="TextBox 83"/>
            <xdr:cNvSpPr txBox="1"/>
          </xdr:nvSpPr>
          <xdr:spPr>
            <a:xfrm>
              <a:off x="5670177" y="51815999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1</xdr:col>
      <xdr:colOff>11207</xdr:colOff>
      <xdr:row>298</xdr:row>
      <xdr:rowOff>156882</xdr:rowOff>
    </xdr:from>
    <xdr:ext cx="726141" cy="280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0400-000055000000}"/>
                </a:ext>
              </a:extLst>
            </xdr:cNvPr>
            <xdr:cNvSpPr txBox="1"/>
          </xdr:nvSpPr>
          <xdr:spPr>
            <a:xfrm>
              <a:off x="717178" y="56881058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𝑡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𝑐</m:t>
                      </m:r>
                    </m:sub>
                  </m:sSub>
                </m:oMath>
              </a14:m>
              <a:r>
                <a:rPr lang="en-US" sz="1200"/>
                <a:t>  (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𝜇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𝑠</m:t>
                  </m:r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85" name="TextBox 84"/>
            <xdr:cNvSpPr txBox="1"/>
          </xdr:nvSpPr>
          <xdr:spPr>
            <a:xfrm>
              <a:off x="717178" y="56881058"/>
              <a:ext cx="726141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𝑡_𝑐</a:t>
              </a:r>
              <a:r>
                <a:rPr lang="en-US" sz="1200"/>
                <a:t>  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𝜇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287</xdr:row>
      <xdr:rowOff>123264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0" y="54785558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86" name="TextBox 85"/>
            <xdr:cNvSpPr txBox="1"/>
          </xdr:nvSpPr>
          <xdr:spPr>
            <a:xfrm>
              <a:off x="0" y="54785558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298</xdr:row>
      <xdr:rowOff>141194</xdr:rowOff>
    </xdr:from>
    <xdr:ext cx="806824" cy="2879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00000000-0008-0000-0400-000057000000}"/>
                </a:ext>
              </a:extLst>
            </xdr:cNvPr>
            <xdr:cNvSpPr txBox="1"/>
          </xdr:nvSpPr>
          <xdr:spPr>
            <a:xfrm>
              <a:off x="0" y="56865370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b>
                    <m:sSub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200" b="0" i="1">
                          <a:latin typeface="Cambria Math"/>
                        </a:rPr>
                        <m:t>𝑉</m:t>
                      </m:r>
                    </m:e>
                    <m:sub>
                      <m:r>
                        <a:rPr lang="en-US" sz="1200" b="0" i="1">
                          <a:latin typeface="Cambria Math"/>
                        </a:rPr>
                        <m:t>𝑖𝑛</m:t>
                      </m:r>
                    </m:sub>
                  </m:sSub>
                </m:oMath>
              </a14:m>
              <a:r>
                <a:rPr lang="en-US" sz="1200"/>
                <a:t> (</a:t>
              </a:r>
              <a14:m>
                <m:oMath xmlns:m="http://schemas.openxmlformats.org/officeDocument/2006/math">
                  <m:f>
                    <m:fPr>
                      <m:type m:val="lin"/>
                      <m:ctrlP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𝑓𝑡</m:t>
                      </m:r>
                    </m:num>
                    <m:den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𝑠</m:t>
                      </m:r>
                    </m:den>
                  </m:f>
                </m:oMath>
              </a14:m>
              <a:r>
                <a:rPr lang="en-US" sz="1200"/>
                <a:t>)</a:t>
              </a:r>
            </a:p>
          </xdr:txBody>
        </xdr:sp>
      </mc:Choice>
      <mc:Fallback xmlns="">
        <xdr:sp macro="" textlink="">
          <xdr:nvSpPr>
            <xdr:cNvPr id="87" name="TextBox 86"/>
            <xdr:cNvSpPr txBox="1"/>
          </xdr:nvSpPr>
          <xdr:spPr>
            <a:xfrm>
              <a:off x="0" y="56865370"/>
              <a:ext cx="806824" cy="2879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0" i="0">
                  <a:latin typeface="Cambria Math"/>
                </a:rPr>
                <a:t>𝑉_𝑖𝑛</a:t>
              </a:r>
              <a:r>
                <a:rPr lang="en-US" sz="1200"/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𝑓𝑡∕𝑠</a:t>
              </a:r>
              <a:r>
                <a:rPr lang="en-US" sz="12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358588</xdr:colOff>
      <xdr:row>304</xdr:row>
      <xdr:rowOff>168087</xdr:rowOff>
    </xdr:from>
    <xdr:ext cx="605118" cy="2129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358588" y="58035263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14:m>
                <m:oMath xmlns:m="http://schemas.openxmlformats.org/officeDocument/2006/math">
                  <m:r>
                    <a:rPr lang="en-US" sz="1100" i="1">
                      <a:latin typeface="Cambria Math"/>
                      <a:ea typeface="Cambria Math"/>
                    </a:rPr>
                    <m:t>𝜇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𝑠</m:t>
                  </m:r>
                </m:oMath>
              </a14:m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Choice>
      <mc:Fallback xmlns="">
        <xdr:sp macro="" textlink="">
          <xdr:nvSpPr>
            <xdr:cNvPr id="88" name="TextBox 87"/>
            <xdr:cNvSpPr txBox="1"/>
          </xdr:nvSpPr>
          <xdr:spPr>
            <a:xfrm>
              <a:off x="358588" y="58035263"/>
              <a:ext cx="605118" cy="2129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>
                  <a:ea typeface="Cambria Math"/>
                </a:rPr>
                <a:t>(</a:t>
              </a:r>
              <a:r>
                <a:rPr lang="en-US" sz="1100" i="0">
                  <a:latin typeface="Cambria Math"/>
                  <a:ea typeface="Cambria Math"/>
                </a:rPr>
                <a:t>𝜇</a:t>
              </a:r>
              <a:r>
                <a:rPr lang="en-US" sz="1100" b="0" i="0">
                  <a:latin typeface="Cambria Math"/>
                  <a:ea typeface="Cambria Math"/>
                </a:rPr>
                <a:t>𝑠</a:t>
              </a:r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9</xdr:col>
      <xdr:colOff>89648</xdr:colOff>
      <xdr:row>297</xdr:row>
      <xdr:rowOff>179293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5670177" y="56712969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89" name="TextBox 88"/>
            <xdr:cNvSpPr txBox="1"/>
          </xdr:nvSpPr>
          <xdr:spPr>
            <a:xfrm>
              <a:off x="5670177" y="56712969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9</xdr:col>
      <xdr:colOff>85167</xdr:colOff>
      <xdr:row>37</xdr:row>
      <xdr:rowOff>163606</xdr:rowOff>
    </xdr:from>
    <xdr:ext cx="591671" cy="283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5665696" y="7178488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90" name="TextBox 89"/>
            <xdr:cNvSpPr txBox="1"/>
          </xdr:nvSpPr>
          <xdr:spPr>
            <a:xfrm>
              <a:off x="5665696" y="7178488"/>
              <a:ext cx="591671" cy="283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200" b="0" i="0">
                  <a:latin typeface="Cambria Math"/>
                </a:rPr>
                <a:t>𝑅^2</a:t>
              </a:r>
              <a:endParaRPr lang="en-US" sz="12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669" name="Rectangle 9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1670" name="Rectangle 10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19050</xdr:rowOff>
        </xdr:from>
        <xdr:to>
          <xdr:col>0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33CC"/>
                  </a:solidFill>
                  <a:latin typeface="Arial"/>
                  <a:cs typeface="Arial"/>
                </a:rPr>
                <a:t>Block 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0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33CC"/>
                  </a:solidFill>
                  <a:latin typeface="Arial"/>
                  <a:cs typeface="Arial"/>
                </a:rPr>
                <a:t>Block Write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0</xdr:col>
          <xdr:colOff>0</xdr:colOff>
          <xdr:row>4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33CC"/>
                  </a:solidFill>
                  <a:latin typeface="Arial"/>
                  <a:cs typeface="Arial"/>
                </a:rPr>
                <a:t>Word Read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H34"/>
  <sheetViews>
    <sheetView tabSelected="1" workbookViewId="0">
      <selection activeCell="G29" sqref="G29"/>
    </sheetView>
  </sheetViews>
  <sheetFormatPr defaultRowHeight="12.75" x14ac:dyDescent="0.2"/>
  <cols>
    <col min="1" max="1" width="3" customWidth="1"/>
    <col min="2" max="4" width="14.7109375" customWidth="1"/>
  </cols>
  <sheetData>
    <row r="1" spans="2:8" ht="12.75" customHeight="1" thickBot="1" x14ac:dyDescent="0.25"/>
    <row r="2" spans="2:8" ht="13.15" customHeight="1" x14ac:dyDescent="0.2">
      <c r="B2" s="102" t="s">
        <v>13</v>
      </c>
      <c r="C2" s="103"/>
      <c r="D2" s="46" t="s">
        <v>8</v>
      </c>
      <c r="E2" s="4"/>
      <c r="F2" s="4"/>
      <c r="G2" s="4"/>
      <c r="H2" s="4"/>
    </row>
    <row r="3" spans="2:8" ht="13.15" customHeight="1" x14ac:dyDescent="0.2">
      <c r="B3" s="104"/>
      <c r="C3" s="105"/>
      <c r="D3" s="47">
        <v>20191021</v>
      </c>
      <c r="E3" s="4"/>
      <c r="F3" s="4"/>
      <c r="G3" s="4"/>
      <c r="H3" s="4"/>
    </row>
    <row r="4" spans="2:8" ht="13.5" customHeight="1" x14ac:dyDescent="0.2">
      <c r="B4" s="96" t="s">
        <v>70</v>
      </c>
      <c r="C4" s="97"/>
      <c r="D4" s="98"/>
      <c r="E4" s="4"/>
      <c r="F4" s="4"/>
      <c r="G4" s="4"/>
      <c r="H4" s="4"/>
    </row>
    <row r="5" spans="2:8" ht="13.5" customHeight="1" thickBot="1" x14ac:dyDescent="0.25">
      <c r="B5" s="99"/>
      <c r="C5" s="100"/>
      <c r="D5" s="101"/>
      <c r="E5" s="4"/>
      <c r="F5" s="4"/>
      <c r="G5" s="4"/>
      <c r="H5" s="4"/>
    </row>
    <row r="6" spans="2:8" x14ac:dyDescent="0.2">
      <c r="B6" s="28"/>
      <c r="C6" s="4"/>
      <c r="D6" s="27"/>
      <c r="E6" s="4"/>
      <c r="F6" s="4"/>
      <c r="G6" s="4"/>
      <c r="H6" s="4"/>
    </row>
    <row r="7" spans="2:8" ht="13.5" thickBot="1" x14ac:dyDescent="0.25">
      <c r="B7" s="28"/>
      <c r="C7" s="4"/>
      <c r="D7" s="27"/>
      <c r="E7" s="4"/>
      <c r="F7" s="4"/>
      <c r="G7" s="4"/>
      <c r="H7" s="4"/>
    </row>
    <row r="8" spans="2:8" ht="13.5" thickBot="1" x14ac:dyDescent="0.25">
      <c r="B8" s="28"/>
      <c r="C8" s="26" t="s">
        <v>12</v>
      </c>
      <c r="D8" s="45" t="s">
        <v>68</v>
      </c>
      <c r="E8" s="4"/>
      <c r="F8" s="4"/>
      <c r="G8" s="4"/>
      <c r="H8" s="4"/>
    </row>
    <row r="9" spans="2:8" x14ac:dyDescent="0.2">
      <c r="B9" s="28"/>
      <c r="C9" s="4"/>
      <c r="D9" s="27"/>
      <c r="E9" s="4"/>
      <c r="F9" s="4"/>
      <c r="G9" s="4"/>
      <c r="H9" s="4"/>
    </row>
    <row r="10" spans="2:8" x14ac:dyDescent="0.2">
      <c r="B10" s="28"/>
      <c r="C10" s="4"/>
      <c r="D10" s="27"/>
      <c r="E10" s="4"/>
      <c r="F10" s="4"/>
      <c r="G10" s="4"/>
      <c r="H10" s="4"/>
    </row>
    <row r="11" spans="2:8" x14ac:dyDescent="0.2">
      <c r="B11" s="28"/>
      <c r="C11" s="4"/>
      <c r="D11" s="27"/>
      <c r="E11" s="4"/>
      <c r="F11" s="4"/>
      <c r="G11" s="4"/>
      <c r="H11" s="4"/>
    </row>
    <row r="12" spans="2:8" x14ac:dyDescent="0.2">
      <c r="B12" s="28"/>
      <c r="C12" s="4"/>
      <c r="D12" s="27"/>
      <c r="E12" s="4"/>
      <c r="F12" s="4"/>
      <c r="G12" s="4"/>
      <c r="H12" s="4"/>
    </row>
    <row r="13" spans="2:8" x14ac:dyDescent="0.2">
      <c r="B13" s="28"/>
      <c r="C13" s="4"/>
      <c r="D13" s="27"/>
      <c r="E13" s="4"/>
      <c r="F13" s="4"/>
      <c r="G13" s="4"/>
      <c r="H13" s="4"/>
    </row>
    <row r="14" spans="2:8" x14ac:dyDescent="0.2">
      <c r="B14" s="28"/>
      <c r="C14" s="4"/>
      <c r="D14" s="27"/>
      <c r="E14" s="4"/>
      <c r="F14" s="4"/>
      <c r="G14" s="4"/>
      <c r="H14" s="4"/>
    </row>
    <row r="15" spans="2:8" x14ac:dyDescent="0.2">
      <c r="B15" s="29"/>
      <c r="C15" s="4"/>
      <c r="D15" s="27"/>
      <c r="E15" s="4"/>
      <c r="F15" s="4"/>
      <c r="G15" s="4"/>
      <c r="H15" s="4"/>
    </row>
    <row r="16" spans="2:8" x14ac:dyDescent="0.2">
      <c r="B16" s="28"/>
      <c r="C16" s="4"/>
      <c r="D16" s="27"/>
      <c r="E16" s="4"/>
      <c r="F16" s="4"/>
      <c r="G16" s="4"/>
      <c r="H16" s="4"/>
    </row>
    <row r="17" spans="2:8" x14ac:dyDescent="0.2">
      <c r="B17" s="29" t="s">
        <v>10</v>
      </c>
      <c r="C17" s="4">
        <v>100</v>
      </c>
      <c r="D17" s="27" t="s">
        <v>9</v>
      </c>
      <c r="E17" s="4"/>
      <c r="F17" s="4"/>
      <c r="G17" s="4"/>
      <c r="H17" s="4"/>
    </row>
    <row r="18" spans="2:8" ht="13.5" thickBot="1" x14ac:dyDescent="0.25">
      <c r="B18" s="30"/>
      <c r="C18" s="31"/>
      <c r="D18" s="32"/>
      <c r="E18" s="4"/>
      <c r="F18" s="4"/>
      <c r="G18" s="4"/>
      <c r="H18" s="4"/>
    </row>
    <row r="19" spans="2:8" x14ac:dyDescent="0.2">
      <c r="B19" s="4"/>
      <c r="C19" s="4"/>
      <c r="D19" s="4"/>
      <c r="E19" s="4"/>
      <c r="F19" s="4"/>
      <c r="G19" s="4"/>
      <c r="H19" s="4"/>
    </row>
    <row r="20" spans="2:8" x14ac:dyDescent="0.2">
      <c r="B20" s="4"/>
      <c r="C20" s="4"/>
      <c r="D20" s="4"/>
      <c r="E20" s="4"/>
      <c r="F20" s="4"/>
      <c r="G20" s="4"/>
      <c r="H20" s="4"/>
    </row>
    <row r="21" spans="2:8" x14ac:dyDescent="0.2">
      <c r="B21" s="4"/>
      <c r="C21" s="4"/>
      <c r="D21" s="4"/>
      <c r="E21" s="4"/>
      <c r="F21" s="4"/>
      <c r="G21" s="4"/>
      <c r="H21" s="4"/>
    </row>
    <row r="22" spans="2:8" x14ac:dyDescent="0.2">
      <c r="B22" s="4"/>
      <c r="C22" s="4"/>
      <c r="D22" s="4"/>
      <c r="E22" s="4"/>
      <c r="F22" s="4"/>
      <c r="G22" s="4"/>
      <c r="H22" s="4"/>
    </row>
    <row r="23" spans="2:8" x14ac:dyDescent="0.2">
      <c r="B23" s="4"/>
      <c r="C23" s="4"/>
      <c r="D23" s="4"/>
      <c r="E23" s="4"/>
      <c r="F23" s="4"/>
      <c r="G23" s="4"/>
      <c r="H23" s="4"/>
    </row>
    <row r="24" spans="2:8" x14ac:dyDescent="0.2">
      <c r="B24" s="4"/>
      <c r="C24" s="4"/>
      <c r="D24" s="4"/>
      <c r="E24" s="4"/>
      <c r="F24" s="4"/>
      <c r="G24" s="4"/>
      <c r="H24" s="4"/>
    </row>
    <row r="25" spans="2:8" x14ac:dyDescent="0.2">
      <c r="B25" s="4"/>
      <c r="C25" s="4"/>
      <c r="D25" s="4"/>
      <c r="E25" s="4"/>
      <c r="F25" s="4"/>
      <c r="G25" s="4"/>
      <c r="H25" s="4"/>
    </row>
    <row r="26" spans="2:8" x14ac:dyDescent="0.2">
      <c r="B26" s="4"/>
      <c r="C26" s="4"/>
      <c r="D26" s="4"/>
      <c r="E26" s="4"/>
      <c r="F26" s="4"/>
      <c r="G26" s="4"/>
      <c r="H26" s="4"/>
    </row>
    <row r="27" spans="2:8" x14ac:dyDescent="0.2">
      <c r="B27" s="4"/>
      <c r="C27" s="4"/>
      <c r="D27" s="4"/>
      <c r="E27" s="4"/>
      <c r="F27" s="4"/>
      <c r="G27" s="4"/>
      <c r="H27" s="4"/>
    </row>
    <row r="28" spans="2:8" x14ac:dyDescent="0.2">
      <c r="B28" s="4"/>
      <c r="C28" s="4"/>
      <c r="D28" s="4"/>
      <c r="E28" s="4"/>
      <c r="F28" s="4"/>
      <c r="G28" s="4"/>
      <c r="H28" s="4"/>
    </row>
    <row r="29" spans="2:8" x14ac:dyDescent="0.2">
      <c r="B29" s="4"/>
      <c r="C29" s="4"/>
      <c r="D29" s="4"/>
      <c r="E29" s="4"/>
      <c r="F29" s="4"/>
      <c r="G29" s="4"/>
      <c r="H29" s="4"/>
    </row>
    <row r="30" spans="2:8" x14ac:dyDescent="0.2">
      <c r="B30" s="4"/>
      <c r="C30" s="4"/>
      <c r="D30" s="4"/>
      <c r="E30" s="4"/>
      <c r="F30" s="4"/>
      <c r="G30" s="4"/>
      <c r="H30" s="4"/>
    </row>
    <row r="31" spans="2:8" x14ac:dyDescent="0.2">
      <c r="B31" s="4"/>
      <c r="C31" s="4"/>
      <c r="D31" s="4"/>
      <c r="E31" s="4"/>
      <c r="F31" s="4"/>
      <c r="G31" s="4"/>
      <c r="H31" s="4"/>
    </row>
    <row r="32" spans="2:8" x14ac:dyDescent="0.2">
      <c r="B32" s="4"/>
      <c r="C32" s="4"/>
      <c r="D32" s="4"/>
      <c r="E32" s="4"/>
      <c r="F32" s="4"/>
      <c r="G32" s="4"/>
      <c r="H32" s="4"/>
    </row>
    <row r="33" spans="2:8" x14ac:dyDescent="0.2">
      <c r="B33" s="4"/>
      <c r="C33" s="4"/>
      <c r="D33" s="4"/>
      <c r="E33" s="4"/>
      <c r="F33" s="4"/>
      <c r="G33" s="4"/>
      <c r="H33" s="4"/>
    </row>
    <row r="34" spans="2:8" x14ac:dyDescent="0.2">
      <c r="B34" s="4"/>
      <c r="C34" s="4"/>
      <c r="D34" s="4"/>
      <c r="E34" s="4"/>
      <c r="F34" s="4"/>
      <c r="G34" s="4"/>
      <c r="H34" s="4"/>
    </row>
  </sheetData>
  <sheetProtection selectLockedCells="1"/>
  <mergeCells count="2">
    <mergeCell ref="B4:D5"/>
    <mergeCell ref="B2:C3"/>
  </mergeCells>
  <phoneticPr fontId="0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33" r:id="rId4" name="Asabtcp4">
          <controlPr defaultSize="0" autoLine="0" r:id="rId5">
            <anchor moveWithCells="1">
              <from>
                <xdr:col>1</xdr:col>
                <xdr:colOff>904875</xdr:colOff>
                <xdr:row>21</xdr:row>
                <xdr:rowOff>123825</xdr:rowOff>
              </from>
              <to>
                <xdr:col>3</xdr:col>
                <xdr:colOff>19050</xdr:colOff>
                <xdr:row>26</xdr:row>
                <xdr:rowOff>19050</xdr:rowOff>
              </to>
            </anchor>
          </controlPr>
        </control>
      </mc:Choice>
      <mc:Fallback>
        <control shapeId="3133" r:id="rId4" name="Asabtcp4"/>
      </mc:Fallback>
    </mc:AlternateContent>
    <mc:AlternateContent xmlns:mc="http://schemas.openxmlformats.org/markup-compatibility/2006">
      <mc:Choice Requires="x14">
        <control shapeId="3131" r:id="rId6" name="Asabtcp3">
          <controlPr defaultSize="0" autoLine="0" r:id="rId7">
            <anchor moveWithCells="1">
              <from>
                <xdr:col>3</xdr:col>
                <xdr:colOff>9525</xdr:colOff>
                <xdr:row>18</xdr:row>
                <xdr:rowOff>0</xdr:rowOff>
              </from>
              <to>
                <xdr:col>3</xdr:col>
                <xdr:colOff>962025</xdr:colOff>
                <xdr:row>21</xdr:row>
                <xdr:rowOff>76200</xdr:rowOff>
              </to>
            </anchor>
          </controlPr>
        </control>
      </mc:Choice>
      <mc:Fallback>
        <control shapeId="3131" r:id="rId6" name="Asabtcp3"/>
      </mc:Fallback>
    </mc:AlternateContent>
    <mc:AlternateContent xmlns:mc="http://schemas.openxmlformats.org/markup-compatibility/2006">
      <mc:Choice Requires="x14">
        <control shapeId="3129" r:id="rId8" name="Asabtcp2">
          <controlPr defaultSize="0" autoLine="0" r:id="rId9">
            <anchor moveWithCells="1">
              <from>
                <xdr:col>2</xdr:col>
                <xdr:colOff>0</xdr:colOff>
                <xdr:row>18</xdr:row>
                <xdr:rowOff>0</xdr:rowOff>
              </from>
              <to>
                <xdr:col>2</xdr:col>
                <xdr:colOff>904875</xdr:colOff>
                <xdr:row>21</xdr:row>
                <xdr:rowOff>66675</xdr:rowOff>
              </to>
            </anchor>
          </controlPr>
        </control>
      </mc:Choice>
      <mc:Fallback>
        <control shapeId="3129" r:id="rId8" name="Asabtcp2"/>
      </mc:Fallback>
    </mc:AlternateContent>
    <mc:AlternateContent xmlns:mc="http://schemas.openxmlformats.org/markup-compatibility/2006">
      <mc:Choice Requires="x14">
        <control shapeId="3126" r:id="rId10" name="Asabtcp1">
          <controlPr defaultSize="0" autoLine="0" r:id="rId9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1</xdr:col>
                <xdr:colOff>904875</xdr:colOff>
                <xdr:row>21</xdr:row>
                <xdr:rowOff>66675</xdr:rowOff>
              </to>
            </anchor>
          </controlPr>
        </control>
      </mc:Choice>
      <mc:Fallback>
        <control shapeId="3126" r:id="rId10" name="Asabtcp1"/>
      </mc:Fallback>
    </mc:AlternateContent>
    <mc:AlternateContent xmlns:mc="http://schemas.openxmlformats.org/markup-compatibility/2006">
      <mc:Choice Requires="x14">
        <control shapeId="3117" r:id="rId11" name="CommandButton11">
          <controlPr defaultSize="0" autoLine="0" r:id="rId12">
            <anchor moveWithCells="1">
              <from>
                <xdr:col>1</xdr:col>
                <xdr:colOff>352425</xdr:colOff>
                <xdr:row>12</xdr:row>
                <xdr:rowOff>152400</xdr:rowOff>
              </from>
              <to>
                <xdr:col>3</xdr:col>
                <xdr:colOff>752475</xdr:colOff>
                <xdr:row>15</xdr:row>
                <xdr:rowOff>47625</xdr:rowOff>
              </to>
            </anchor>
          </controlPr>
        </control>
      </mc:Choice>
      <mc:Fallback>
        <control shapeId="3117" r:id="rId11" name="CommandButton1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L40"/>
  <sheetViews>
    <sheetView workbookViewId="0">
      <selection activeCell="L5" sqref="L5"/>
    </sheetView>
  </sheetViews>
  <sheetFormatPr defaultRowHeight="12.75" x14ac:dyDescent="0.2"/>
  <cols>
    <col min="1" max="2" width="11.28515625" customWidth="1"/>
    <col min="3" max="3" width="13" customWidth="1"/>
    <col min="5" max="5" width="9" bestFit="1" customWidth="1"/>
    <col min="6" max="6" width="9.85546875" bestFit="1" customWidth="1"/>
    <col min="7" max="7" width="7.5703125" customWidth="1"/>
    <col min="8" max="8" width="11.7109375" customWidth="1"/>
    <col min="9" max="9" width="12.42578125" customWidth="1"/>
    <col min="10" max="11" width="12.28515625" customWidth="1"/>
    <col min="12" max="12" width="10.85546875" customWidth="1"/>
  </cols>
  <sheetData>
    <row r="1" spans="1:12" x14ac:dyDescent="0.2">
      <c r="A1" s="106" t="s">
        <v>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8"/>
    </row>
    <row r="2" spans="1:12" x14ac:dyDescent="0.2">
      <c r="A2" s="109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1"/>
    </row>
    <row r="3" spans="1:12" x14ac:dyDescent="0.2">
      <c r="A3" s="109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1"/>
    </row>
    <row r="4" spans="1:12" ht="13.5" thickBot="1" x14ac:dyDescent="0.25">
      <c r="A4" s="112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4"/>
    </row>
    <row r="5" spans="1:12" ht="16.5" customHeight="1" thickTop="1" thickBot="1" x14ac:dyDescent="0.25">
      <c r="A5" s="67" t="s">
        <v>0</v>
      </c>
      <c r="B5" s="67" t="s">
        <v>6</v>
      </c>
      <c r="C5" s="67" t="s">
        <v>1</v>
      </c>
      <c r="D5" s="115" t="s">
        <v>7</v>
      </c>
      <c r="E5" s="116"/>
      <c r="F5" s="116"/>
      <c r="G5" s="116"/>
      <c r="H5" s="116"/>
      <c r="I5" s="116"/>
      <c r="J5" s="116"/>
      <c r="K5" s="68" t="s">
        <v>8</v>
      </c>
      <c r="L5" s="69">
        <v>20171207</v>
      </c>
    </row>
    <row r="6" spans="1:12" ht="13.5" thickBot="1" x14ac:dyDescent="0.25">
      <c r="A6" s="17">
        <v>1</v>
      </c>
      <c r="B6" s="19">
        <f>IF(COUNTIF(MULTIPLE_SHOT_DATA!A1:'MULTIPLE_SHOT_DATA'!A100,"&gt;0")=0,"",COUNTIF(MULTIPLE_SHOT_DATA!A1:'MULTIPLE_SHOT_DATA'!A100,"&gt;0"))</f>
        <v>4</v>
      </c>
      <c r="C6" s="20">
        <f>IFERROR(SUM(IF(MULTIPLE_SHOT_DATA!A1 &gt; 0,IF(MULTIPLE_SHOT_DATA!B1&gt;0,MULTIPLE_SHOT_DATA!B1/MULTIPLE_SHOT_DATA!A1,0),0),IF(MULTIPLE_SHOT_DATA!A2 &gt; 0,IF(MULTIPLE_SHOT_DATA!B2&gt;0,MULTIPLE_SHOT_DATA!B2/MULTIPLE_SHOT_DATA!A2,0),0),IF(MULTIPLE_SHOT_DATA!A3 &gt; 0,IF(MULTIPLE_SHOT_DATA!B3&gt;0,MULTIPLE_SHOT_DATA!B3/MULTIPLE_SHOT_DATA!A3,0),0),IF(MULTIPLE_SHOT_DATA!A4 &gt; 0,IF(MULTIPLE_SHOT_DATA!B4&gt;0,MULTIPLE_SHOT_DATA!B4/MULTIPLE_SHOT_DATA!A4,0),0),IF(MULTIPLE_SHOT_DATA!A5 &gt; 0,IF(MULTIPLE_SHOT_DATA!B5&gt;0,MULTIPLE_SHOT_DATA!B5/MULTIPLE_SHOT_DATA!A5,0),0),IF(MULTIPLE_SHOT_DATA!A6 &gt; 0,IF(MULTIPLE_SHOT_DATA!B6&gt;0,MULTIPLE_SHOT_DATA!B6/MULTIPLE_SHOT_DATA!A6,0),0))/COUNTIF(MULTIPLE_SHOT_DATA!A1:A6,"&gt;0"),"")</f>
        <v>0.77082065693484181</v>
      </c>
      <c r="D6" s="9"/>
      <c r="E6" s="34" t="s">
        <v>15</v>
      </c>
      <c r="F6" s="34" t="s">
        <v>16</v>
      </c>
      <c r="G6" s="34" t="s">
        <v>17</v>
      </c>
      <c r="H6" s="34" t="s">
        <v>18</v>
      </c>
      <c r="I6" s="5"/>
      <c r="J6" s="5"/>
    </row>
    <row r="7" spans="1:12" ht="13.5" thickBot="1" x14ac:dyDescent="0.25">
      <c r="A7" s="17">
        <v>2</v>
      </c>
      <c r="B7" s="19">
        <f>IF(COUNTIF(MULTIPLE_SHOT_DATA!D1:'MULTIPLE_SHOT_DATA'!D100,"&gt;0")=0,"",COUNTIF(MULTIPLE_SHOT_DATA!D1:'MULTIPLE_SHOT_DATA'!D100,"&gt;0"))</f>
        <v>4</v>
      </c>
      <c r="C7" s="20">
        <f>IFERROR(SUM(IF(MULTIPLE_SHOT_DATA!D1 &gt; 0,IF(MULTIPLE_SHOT_DATA!E1&gt;0,MULTIPLE_SHOT_DATA!E1/MULTIPLE_SHOT_DATA!D1,0),0),IF(MULTIPLE_SHOT_DATA!D2 &gt; 0,IF(MULTIPLE_SHOT_DATA!E2&gt;0,MULTIPLE_SHOT_DATA!E2/MULTIPLE_SHOT_DATA!D2,0),0),IF(MULTIPLE_SHOT_DATA!D3 &gt; 0,IF(MULTIPLE_SHOT_DATA!E3&gt;0,MULTIPLE_SHOT_DATA!E3/MULTIPLE_SHOT_DATA!D3,0),0),IF(MULTIPLE_SHOT_DATA!D4 &gt; 0,IF(MULTIPLE_SHOT_DATA!E4&gt;0,MULTIPLE_SHOT_DATA!E4/MULTIPLE_SHOT_DATA!D4,0),0),IF(MULTIPLE_SHOT_DATA!D5 &gt; 0,IF(MULTIPLE_SHOT_DATA!E5&gt;0,MULTIPLE_SHOT_DATA!E5/MULTIPLE_SHOT_DATA!D5,0),0),IF(MULTIPLE_SHOT_DATA!D6 &gt; 0,IF(MULTIPLE_SHOT_DATA!E6&gt;0,MULTIPLE_SHOT_DATA!E6/MULTIPLE_SHOT_DATA!D6,0),0))/COUNTIF(MULTIPLE_SHOT_DATA!D1:D6,"&gt;0"),"")</f>
        <v>0.76899863132019131</v>
      </c>
      <c r="D7" s="9"/>
      <c r="E7" s="6">
        <v>9</v>
      </c>
      <c r="F7" s="6">
        <f>COUNTIF(B$6:B$29,"&lt;=9")-COUNTIF(B$6:B$29,"&lt;0")</f>
        <v>12</v>
      </c>
      <c r="G7" s="35" t="s">
        <v>19</v>
      </c>
      <c r="H7" s="10">
        <f>F7/F$18</f>
        <v>1</v>
      </c>
      <c r="I7" s="5"/>
      <c r="J7" s="5"/>
    </row>
    <row r="8" spans="1:12" ht="13.5" thickBot="1" x14ac:dyDescent="0.25">
      <c r="A8" s="17">
        <v>3</v>
      </c>
      <c r="B8" s="19">
        <f>IF(COUNTIF(MULTIPLE_SHOT_DATA!G1:'MULTIPLE_SHOT_DATA'!G100,"&gt;0")=0,"",COUNTIF(MULTIPLE_SHOT_DATA!G1:'MULTIPLE_SHOT_DATA'!G100,"&gt;0"))</f>
        <v>4</v>
      </c>
      <c r="C8" s="20">
        <f>IFERROR(SUM(IF(MULTIPLE_SHOT_DATA!G1 &gt; 0,IF(MULTIPLE_SHOT_DATA!H1&gt;0,MULTIPLE_SHOT_DATA!H1/MULTIPLE_SHOT_DATA!G1,0),0),IF(MULTIPLE_SHOT_DATA!G2 &gt; 0,IF(MULTIPLE_SHOT_DATA!H2&gt;0,MULTIPLE_SHOT_DATA!H2/MULTIPLE_SHOT_DATA!G2,0),0),IF(MULTIPLE_SHOT_DATA!G3 &gt; 0,IF(MULTIPLE_SHOT_DATA!H3&gt;0,MULTIPLE_SHOT_DATA!H3/MULTIPLE_SHOT_DATA!G3,0),0),IF(MULTIPLE_SHOT_DATA!G4 &gt; 0,IF(MULTIPLE_SHOT_DATA!H4&gt;0,MULTIPLE_SHOT_DATA!H4/MULTIPLE_SHOT_DATA!G4,0),0),IF(MULTIPLE_SHOT_DATA!G5 &gt; 0,IF(MULTIPLE_SHOT_DATA!H5&gt;0,MULTIPLE_SHOT_DATA!H5/MULTIPLE_SHOT_DATA!G5,0),0),IF(MULTIPLE_SHOT_DATA!G6 &gt; 0,IF(MULTIPLE_SHOT_DATA!H6&gt;0,MULTIPLE_SHOT_DATA!H6/MULTIPLE_SHOT_DATA!G6,0),0))/COUNTIF(MULTIPLE_SHOT_DATA!G1:G6,"&gt;0"),"")</f>
        <v>0.77226249716759399</v>
      </c>
      <c r="D8" s="9"/>
      <c r="E8" s="6">
        <f t="shared" ref="E8:E18" si="0">E7+9</f>
        <v>18</v>
      </c>
      <c r="F8" s="6">
        <f>COUNTIF(B$6:B$29,"&lt;=19")-COUNTIF(B$6:B$29,"&lt;10")</f>
        <v>0</v>
      </c>
      <c r="G8" s="36" t="s">
        <v>20</v>
      </c>
      <c r="H8" s="10">
        <f t="shared" ref="H8:H17" si="1">F8/F$18</f>
        <v>0</v>
      </c>
      <c r="I8" s="5"/>
      <c r="J8" s="5"/>
    </row>
    <row r="9" spans="1:12" ht="13.5" thickBot="1" x14ac:dyDescent="0.25">
      <c r="A9" s="17">
        <v>4</v>
      </c>
      <c r="B9" s="19">
        <f>IF(COUNTIF(MULTIPLE_SHOT_DATA!J1:'MULTIPLE_SHOT_DATA'!J100,"&gt;0")=0,"",COUNTIF(MULTIPLE_SHOT_DATA!J1:'MULTIPLE_SHOT_DATA'!J100,"&gt;0"))</f>
        <v>4</v>
      </c>
      <c r="C9" s="20">
        <f>IFERROR(SUM(IF(MULTIPLE_SHOT_DATA!J1 &gt; 0,IF(MULTIPLE_SHOT_DATA!K1&gt;0,MULTIPLE_SHOT_DATA!K1/MULTIPLE_SHOT_DATA!J1,0),0),IF(MULTIPLE_SHOT_DATA!J2 &gt; 0,IF(MULTIPLE_SHOT_DATA!K2&gt;0,MULTIPLE_SHOT_DATA!K2/MULTIPLE_SHOT_DATA!J2,0),0),IF(MULTIPLE_SHOT_DATA!J3 &gt; 0,IF(MULTIPLE_SHOT_DATA!K3&gt;0,MULTIPLE_SHOT_DATA!K3/MULTIPLE_SHOT_DATA!J3,0),0),IF(MULTIPLE_SHOT_DATA!J4 &gt; 0,IF(MULTIPLE_SHOT_DATA!K4&gt;0,MULTIPLE_SHOT_DATA!K4/MULTIPLE_SHOT_DATA!J4,0),0),IF(MULTIPLE_SHOT_DATA!J5 &gt; 0,IF(MULTIPLE_SHOT_DATA!K5&gt;0,MULTIPLE_SHOT_DATA!K5/MULTIPLE_SHOT_DATA!J5,0),0),IF(MULTIPLE_SHOT_DATA!J6 &gt; 0,IF(MULTIPLE_SHOT_DATA!K6&gt;0,MULTIPLE_SHOT_DATA!K6/MULTIPLE_SHOT_DATA!J6,0),0))/COUNTIF(MULTIPLE_SHOT_DATA!J1:J6,"&gt;0"),"")</f>
        <v>0.7687686353559513</v>
      </c>
      <c r="D9" s="9"/>
      <c r="E9" s="6">
        <f t="shared" si="0"/>
        <v>27</v>
      </c>
      <c r="F9" s="6">
        <f>COUNTIF(B$6:B$29,"&lt;=29")-COUNTIF(B$6:B$29,"&lt;20")</f>
        <v>0</v>
      </c>
      <c r="G9" s="8" t="s">
        <v>21</v>
      </c>
      <c r="H9" s="10">
        <f t="shared" si="1"/>
        <v>0</v>
      </c>
      <c r="I9" s="5"/>
      <c r="J9" s="5"/>
    </row>
    <row r="10" spans="1:12" ht="13.5" thickBot="1" x14ac:dyDescent="0.25">
      <c r="A10" s="17">
        <v>5</v>
      </c>
      <c r="B10" s="19">
        <f>IF(COUNTIF(MULTIPLE_SHOT_DATA!M1:'MULTIPLE_SHOT_DATA'!M100,"&gt;0")=0,"",COUNTIF(MULTIPLE_SHOT_DATA!M1:'MULTIPLE_SHOT_DATA'!M100,"&gt;0"))</f>
        <v>4</v>
      </c>
      <c r="C10" s="20">
        <f>IFERROR(SUM(IF(MULTIPLE_SHOT_DATA!M1 &gt; 0,IF(MULTIPLE_SHOT_DATA!N1&gt;0,MULTIPLE_SHOT_DATA!N1/MULTIPLE_SHOT_DATA!M1,0),0),IF(MULTIPLE_SHOT_DATA!M2 &gt; 0,IF(MULTIPLE_SHOT_DATA!N2&gt;0,MULTIPLE_SHOT_DATA!N2/MULTIPLE_SHOT_DATA!M2,0),0),IF(MULTIPLE_SHOT_DATA!M3 &gt; 0,IF(MULTIPLE_SHOT_DATA!N3&gt;0,MULTIPLE_SHOT_DATA!N3/MULTIPLE_SHOT_DATA!M3,0),0),IF(MULTIPLE_SHOT_DATA!M4 &gt; 0,IF(MULTIPLE_SHOT_DATA!N4&gt;0,MULTIPLE_SHOT_DATA!N4/MULTIPLE_SHOT_DATA!M4,0),0),IF(MULTIPLE_SHOT_DATA!M5 &gt; 0,IF(MULTIPLE_SHOT_DATA!N5&gt;0,MULTIPLE_SHOT_DATA!N5/MULTIPLE_SHOT_DATA!M5,0),0),IF(MULTIPLE_SHOT_DATA!M6 &gt; 0,IF(MULTIPLE_SHOT_DATA!N6&gt;0,MULTIPLE_SHOT_DATA!N6/MULTIPLE_SHOT_DATA!M6,0),0))/COUNTIF(MULTIPLE_SHOT_DATA!M1:M6,"&gt;0"),"")</f>
        <v>0.77401469262660105</v>
      </c>
      <c r="D10" s="9"/>
      <c r="E10" s="6">
        <f t="shared" si="0"/>
        <v>36</v>
      </c>
      <c r="F10" s="6">
        <f>COUNTIF(B$6:B$29,"&lt;=39")-COUNTIF(B$6:B$29,"&lt;30")</f>
        <v>0</v>
      </c>
      <c r="G10" s="8" t="s">
        <v>22</v>
      </c>
      <c r="H10" s="10">
        <f t="shared" si="1"/>
        <v>0</v>
      </c>
      <c r="I10" s="5"/>
      <c r="J10" s="5"/>
    </row>
    <row r="11" spans="1:12" ht="13.5" thickBot="1" x14ac:dyDescent="0.25">
      <c r="A11" s="17">
        <v>6</v>
      </c>
      <c r="B11" s="19">
        <f>IF(COUNTIF(MULTIPLE_SHOT_DATA!P1:'MULTIPLE_SHOT_DATA'!P100,"&gt;0")=0,"",COUNTIF(MULTIPLE_SHOT_DATA!P1:'MULTIPLE_SHOT_DATA'!P100,"&gt;0"))</f>
        <v>4</v>
      </c>
      <c r="C11" s="20">
        <f>IFERROR(SUM(IF(MULTIPLE_SHOT_DATA!P1 &gt; 0,IF(MULTIPLE_SHOT_DATA!Q1&gt;0,MULTIPLE_SHOT_DATA!Q1/MULTIPLE_SHOT_DATA!P1,0),0),IF(MULTIPLE_SHOT_DATA!P2 &gt; 0,IF(MULTIPLE_SHOT_DATA!Q2&gt;0,MULTIPLE_SHOT_DATA!Q2/MULTIPLE_SHOT_DATA!P2,0),0),IF(MULTIPLE_SHOT_DATA!P3 &gt; 0,IF(MULTIPLE_SHOT_DATA!Q3&gt;0,MULTIPLE_SHOT_DATA!Q3/MULTIPLE_SHOT_DATA!P3,0),0),IF(MULTIPLE_SHOT_DATA!P4 &gt; 0,IF(MULTIPLE_SHOT_DATA!Q4&gt;0,MULTIPLE_SHOT_DATA!Q4/MULTIPLE_SHOT_DATA!P4,0),0),IF(MULTIPLE_SHOT_DATA!P5 &gt; 0,IF(MULTIPLE_SHOT_DATA!Q5&gt;0,MULTIPLE_SHOT_DATA!Q5/MULTIPLE_SHOT_DATA!P5,0),0),IF(MULTIPLE_SHOT_DATA!P6 &gt; 0,IF(MULTIPLE_SHOT_DATA!Q6&gt;0,MULTIPLE_SHOT_DATA!Q6/MULTIPLE_SHOT_DATA!P6,0),0))/COUNTIF(MULTIPLE_SHOT_DATA!P1:P6,"&gt;0"),"")</f>
        <v>0.77168243640462286</v>
      </c>
      <c r="D11" s="9"/>
      <c r="E11" s="6">
        <f t="shared" si="0"/>
        <v>45</v>
      </c>
      <c r="F11" s="6">
        <f>COUNTIF(B$6:B$29,"&lt;=49")-COUNTIF(B$6:B$29,"&lt;40")</f>
        <v>0</v>
      </c>
      <c r="G11" s="8" t="s">
        <v>23</v>
      </c>
      <c r="H11" s="10">
        <f>F11/F$18</f>
        <v>0</v>
      </c>
      <c r="I11" s="5"/>
      <c r="J11" s="5"/>
    </row>
    <row r="12" spans="1:12" ht="13.5" thickBot="1" x14ac:dyDescent="0.25">
      <c r="A12" s="17">
        <v>7</v>
      </c>
      <c r="B12" s="19">
        <f>IF(COUNTIF(MULTIPLE_SHOT_DATA!S1:'MULTIPLE_SHOT_DATA'!S100,"&gt;0")=0,"",COUNTIF(MULTIPLE_SHOT_DATA!S1:'MULTIPLE_SHOT_DATA'!S100,"&gt;0"))</f>
        <v>4</v>
      </c>
      <c r="C12" s="20">
        <f>IFERROR(SUM(IF(MULTIPLE_SHOT_DATA!S1 &gt; 0,IF(MULTIPLE_SHOT_DATA!T1&gt;0,MULTIPLE_SHOT_DATA!T1/MULTIPLE_SHOT_DATA!S1,0),0),IF(MULTIPLE_SHOT_DATA!S2 &gt; 0,IF(MULTIPLE_SHOT_DATA!T2&gt;0,MULTIPLE_SHOT_DATA!T2/MULTIPLE_SHOT_DATA!S2,0),0),IF(MULTIPLE_SHOT_DATA!S3 &gt; 0,IF(MULTIPLE_SHOT_DATA!T3&gt;0,MULTIPLE_SHOT_DATA!T3/MULTIPLE_SHOT_DATA!S3,0),0),IF(MULTIPLE_SHOT_DATA!S4 &gt; 0,IF(MULTIPLE_SHOT_DATA!T4&gt;0,MULTIPLE_SHOT_DATA!T4/MULTIPLE_SHOT_DATA!S4,0),0),IF(MULTIPLE_SHOT_DATA!S5 &gt; 0,IF(MULTIPLE_SHOT_DATA!T5&gt;0,MULTIPLE_SHOT_DATA!T5/MULTIPLE_SHOT_DATA!S5,0),0),IF(MULTIPLE_SHOT_DATA!S6 &gt; 0,IF(MULTIPLE_SHOT_DATA!T6&gt;0,MULTIPLE_SHOT_DATA!T6/MULTIPLE_SHOT_DATA!S6,0),0))/COUNTIF(MULTIPLE_SHOT_DATA!S1:S6,"&gt;0"),"")</f>
        <v>0.77112310178757604</v>
      </c>
      <c r="D12" s="9"/>
      <c r="E12" s="6">
        <f t="shared" si="0"/>
        <v>54</v>
      </c>
      <c r="F12" s="6">
        <f>COUNTIF(B$6:B$29,"&lt;=59")-COUNTIF(B$6:B$29,"&lt;50")</f>
        <v>0</v>
      </c>
      <c r="G12" s="8" t="s">
        <v>24</v>
      </c>
      <c r="H12" s="10">
        <f t="shared" si="1"/>
        <v>0</v>
      </c>
      <c r="I12" s="5"/>
      <c r="J12" s="5"/>
    </row>
    <row r="13" spans="1:12" ht="13.5" thickBot="1" x14ac:dyDescent="0.25">
      <c r="A13" s="17">
        <v>8</v>
      </c>
      <c r="B13" s="19">
        <f>IF(COUNTIF(MULTIPLE_SHOT_DATA!V1:'MULTIPLE_SHOT_DATA'!V100,"&gt;0")=0,"",COUNTIF(MULTIPLE_SHOT_DATA!V1:'MULTIPLE_SHOT_DATA'!V100,"&gt;0"))</f>
        <v>4</v>
      </c>
      <c r="C13" s="20">
        <f>IFERROR(SUM(IF(MULTIPLE_SHOT_DATA!V1 &gt; 0,IF(MULTIPLE_SHOT_DATA!W1&gt;0,MULTIPLE_SHOT_DATA!W1/MULTIPLE_SHOT_DATA!V1,0),0),IF(MULTIPLE_SHOT_DATA!V2 &gt; 0,IF(MULTIPLE_SHOT_DATA!W2&gt;0,MULTIPLE_SHOT_DATA!W2/MULTIPLE_SHOT_DATA!V2,0),0),IF(MULTIPLE_SHOT_DATA!V3 &gt; 0,IF(MULTIPLE_SHOT_DATA!W3&gt;0,MULTIPLE_SHOT_DATA!W3/MULTIPLE_SHOT_DATA!V3,0),0),IF(MULTIPLE_SHOT_DATA!V4 &gt; 0,IF(MULTIPLE_SHOT_DATA!W4&gt;0,MULTIPLE_SHOT_DATA!W4/MULTIPLE_SHOT_DATA!V4,0),0),IF(MULTIPLE_SHOT_DATA!V5 &gt; 0,IF(MULTIPLE_SHOT_DATA!W5&gt;0,MULTIPLE_SHOT_DATA!W5/MULTIPLE_SHOT_DATA!V5,0),0),IF(MULTIPLE_SHOT_DATA!V6 &gt; 0,IF(MULTIPLE_SHOT_DATA!W6&gt;0,MULTIPLE_SHOT_DATA!W6/MULTIPLE_SHOT_DATA!V6,0),0))/COUNTIF(MULTIPLE_SHOT_DATA!V1:V6,"&gt;0"),"")</f>
        <v>0.76964696603887384</v>
      </c>
      <c r="D13" s="9"/>
      <c r="E13" s="6">
        <f t="shared" si="0"/>
        <v>63</v>
      </c>
      <c r="F13" s="6">
        <f>COUNTIF(B$6:B$29,"&lt;=69")-COUNTIF(B$6:B$29,"&lt;60")</f>
        <v>0</v>
      </c>
      <c r="G13" s="8" t="s">
        <v>25</v>
      </c>
      <c r="H13" s="10">
        <f t="shared" si="1"/>
        <v>0</v>
      </c>
      <c r="I13" s="5"/>
      <c r="J13" s="5"/>
    </row>
    <row r="14" spans="1:12" ht="13.5" thickBot="1" x14ac:dyDescent="0.25">
      <c r="A14" s="17">
        <v>9</v>
      </c>
      <c r="B14" s="19">
        <f>IF(COUNTIF(MULTIPLE_SHOT_DATA!Y1:'MULTIPLE_SHOT_DATA'!Y100,"&gt;0")=0,"",COUNTIF(MULTIPLE_SHOT_DATA!Y1:'MULTIPLE_SHOT_DATA'!Y100,"&gt;0"))</f>
        <v>4</v>
      </c>
      <c r="C14" s="20">
        <f>IFERROR(SUM(IF(MULTIPLE_SHOT_DATA!Y1 &gt; 0,IF(MULTIPLE_SHOT_DATA!Z1&gt;0,MULTIPLE_SHOT_DATA!Z1/MULTIPLE_SHOT_DATA!Y1,0),0),IF(MULTIPLE_SHOT_DATA!Y2 &gt; 0,IF(MULTIPLE_SHOT_DATA!Z2&gt;0,MULTIPLE_SHOT_DATA!Z2/MULTIPLE_SHOT_DATA!Y2,0),0),IF(MULTIPLE_SHOT_DATA!Y3 &gt; 0,IF(MULTIPLE_SHOT_DATA!Z3&gt;0,MULTIPLE_SHOT_DATA!Z3/MULTIPLE_SHOT_DATA!Y3,0),0),IF(MULTIPLE_SHOT_DATA!Y4 &gt; 0,IF(MULTIPLE_SHOT_DATA!Z4&gt;0,MULTIPLE_SHOT_DATA!Z4/MULTIPLE_SHOT_DATA!Y4,0),0),IF(MULTIPLE_SHOT_DATA!Y5 &gt; 0,IF(MULTIPLE_SHOT_DATA!Z5&gt;0,MULTIPLE_SHOT_DATA!Z5/MULTIPLE_SHOT_DATA!Y5,0),0),IF(MULTIPLE_SHOT_DATA!Y6 &gt; 0,IF(MULTIPLE_SHOT_DATA!Z6&gt;0,MULTIPLE_SHOT_DATA!Z6/MULTIPLE_SHOT_DATA!Y6,0),0))/COUNTIF(MULTIPLE_SHOT_DATA!Y1:Y6,"&gt;0"),"")</f>
        <v>0.77063060314689946</v>
      </c>
      <c r="D14" s="9"/>
      <c r="E14" s="6">
        <f t="shared" si="0"/>
        <v>72</v>
      </c>
      <c r="F14" s="6">
        <f>COUNTIF(B$6:B$29,"&lt;=79")-COUNTIF(B$6:B$29,"&lt;70")</f>
        <v>0</v>
      </c>
      <c r="G14" s="8" t="s">
        <v>26</v>
      </c>
      <c r="H14" s="10">
        <f t="shared" si="1"/>
        <v>0</v>
      </c>
      <c r="I14" s="5"/>
      <c r="J14" s="5"/>
      <c r="K14" s="5"/>
      <c r="L14" s="5"/>
    </row>
    <row r="15" spans="1:12" ht="13.5" thickBot="1" x14ac:dyDescent="0.25">
      <c r="A15" s="17">
        <v>10</v>
      </c>
      <c r="B15" s="19">
        <f>IF(COUNTIF(MULTIPLE_SHOT_DATA!AB1:'MULTIPLE_SHOT_DATA'!AB100,"&gt;0")=0,"",COUNTIF(MULTIPLE_SHOT_DATA!AB1:'MULTIPLE_SHOT_DATA'!AB100,"&gt;0"))</f>
        <v>4</v>
      </c>
      <c r="C15" s="20">
        <f>IFERROR(SUM(IF(MULTIPLE_SHOT_DATA!AB1 &gt; 0,IF(MULTIPLE_SHOT_DATA!AC1&gt;0,MULTIPLE_SHOT_DATA!AC1/MULTIPLE_SHOT_DATA!AB1,0),0),IF(MULTIPLE_SHOT_DATA!AB2 &gt; 0,IF(MULTIPLE_SHOT_DATA!AC2&gt;0,MULTIPLE_SHOT_DATA!AC2/MULTIPLE_SHOT_DATA!AB2,0),0),IF(MULTIPLE_SHOT_DATA!AB3 &gt; 0,IF(MULTIPLE_SHOT_DATA!AC3&gt;0,MULTIPLE_SHOT_DATA!AC3/MULTIPLE_SHOT_DATA!AB3,0),0),IF(MULTIPLE_SHOT_DATA!AB4 &gt; 0,IF(MULTIPLE_SHOT_DATA!AC4&gt;0,MULTIPLE_SHOT_DATA!AC4/MULTIPLE_SHOT_DATA!AB4,0),0),IF(MULTIPLE_SHOT_DATA!AB5 &gt; 0,IF(MULTIPLE_SHOT_DATA!AC5&gt;0,MULTIPLE_SHOT_DATA!AC5/MULTIPLE_SHOT_DATA!AB5,0),0),IF(MULTIPLE_SHOT_DATA!AB6 &gt; 0,IF(MULTIPLE_SHOT_DATA!AC6&gt;0,MULTIPLE_SHOT_DATA!AC6/MULTIPLE_SHOT_DATA!AB6,0),0))/COUNTIF(MULTIPLE_SHOT_DATA!AB1:AB6,"&gt;0"),"")</f>
        <v>0.76968448280622637</v>
      </c>
      <c r="D15" s="9"/>
      <c r="E15" s="6">
        <f t="shared" si="0"/>
        <v>81</v>
      </c>
      <c r="F15" s="6">
        <f>COUNTIF(B$6:B$29,"&lt;=89")-COUNTIF(B$6:B$29,"&lt;80")</f>
        <v>0</v>
      </c>
      <c r="G15" s="8" t="s">
        <v>27</v>
      </c>
      <c r="H15" s="10">
        <f t="shared" si="1"/>
        <v>0</v>
      </c>
      <c r="I15" s="5"/>
      <c r="J15" s="5"/>
      <c r="K15" s="5"/>
      <c r="L15" s="5"/>
    </row>
    <row r="16" spans="1:12" ht="13.5" thickBot="1" x14ac:dyDescent="0.25">
      <c r="A16" s="17">
        <v>11</v>
      </c>
      <c r="B16" s="19">
        <f>IF(COUNTIF(MULTIPLE_SHOT_DATA!AE1:'MULTIPLE_SHOT_DATA'!AE100,"&gt;0")=0,"",COUNTIF(MULTIPLE_SHOT_DATA!AE1:'MULTIPLE_SHOT_DATA'!AE100,"&gt;0"))</f>
        <v>4</v>
      </c>
      <c r="C16" s="20">
        <f>IFERROR(SUM(IF(MULTIPLE_SHOT_DATA!AE1 &gt; 0,IF(MULTIPLE_SHOT_DATA!AF1&gt;0,MULTIPLE_SHOT_DATA!AF1/MULTIPLE_SHOT_DATA!AE1,0),0),IF(MULTIPLE_SHOT_DATA!AE2 &gt; 0,IF(MULTIPLE_SHOT_DATA!AF2&gt;0,MULTIPLE_SHOT_DATA!AF2/MULTIPLE_SHOT_DATA!AE2,0),0),IF(MULTIPLE_SHOT_DATA!AE3 &gt; 0,IF(MULTIPLE_SHOT_DATA!AF3&gt;0,MULTIPLE_SHOT_DATA!AF3/MULTIPLE_SHOT_DATA!AE3,0),0),IF(MULTIPLE_SHOT_DATA!AE4 &gt; 0,IF(MULTIPLE_SHOT_DATA!AF4&gt;0,MULTIPLE_SHOT_DATA!AF4/MULTIPLE_SHOT_DATA!AE4,0),0),IF(MULTIPLE_SHOT_DATA!AE5 &gt; 0,IF(MULTIPLE_SHOT_DATA!AF5&gt;0,MULTIPLE_SHOT_DATA!AF5/MULTIPLE_SHOT_DATA!AE5,0),0),IF(MULTIPLE_SHOT_DATA!AE6 &gt; 0,IF(MULTIPLE_SHOT_DATA!AF6&gt;0,MULTIPLE_SHOT_DATA!AF6/MULTIPLE_SHOT_DATA!AE6,0),0))/COUNTIF(MULTIPLE_SHOT_DATA!AE1:AE6,"&gt;0"),"")</f>
        <v>0.77304710235184748</v>
      </c>
      <c r="D16" s="9"/>
      <c r="E16" s="6">
        <f t="shared" si="0"/>
        <v>90</v>
      </c>
      <c r="F16" s="6">
        <f>COUNTIF(B$6:B$29,"&lt;=99")-COUNTIF(B$6:B$29,"&lt;90")</f>
        <v>0</v>
      </c>
      <c r="G16" s="8" t="s">
        <v>28</v>
      </c>
      <c r="H16" s="10">
        <f t="shared" si="1"/>
        <v>0</v>
      </c>
      <c r="I16" s="5"/>
      <c r="J16" s="5"/>
      <c r="K16" s="5"/>
      <c r="L16" s="5"/>
    </row>
    <row r="17" spans="1:12" ht="13.5" thickBot="1" x14ac:dyDescent="0.25">
      <c r="A17" s="17">
        <v>12</v>
      </c>
      <c r="B17" s="19">
        <f>IF(COUNTIF(MULTIPLE_SHOT_DATA!AH1:'MULTIPLE_SHOT_DATA'!AH100,"&gt;0")=0,"",COUNTIF(MULTIPLE_SHOT_DATA!AH1:'MULTIPLE_SHOT_DATA'!AH100,"&gt;0"))</f>
        <v>4</v>
      </c>
      <c r="C17" s="20">
        <f>IFERROR(SUM(IF(MULTIPLE_SHOT_DATA!AH1 &gt; 0,IF(MULTIPLE_SHOT_DATA!AI1&gt;0,MULTIPLE_SHOT_DATA!AI1/MULTIPLE_SHOT_DATA!AH1,0),0),IF(MULTIPLE_SHOT_DATA!AH2 &gt; 0,IF(MULTIPLE_SHOT_DATA!AI2&gt;0,MULTIPLE_SHOT_DATA!AI2/MULTIPLE_SHOT_DATA!AH2,0),0),IF(MULTIPLE_SHOT_DATA!AH3 &gt; 0,IF(MULTIPLE_SHOT_DATA!AI3&gt;0,MULTIPLE_SHOT_DATA!AI3/MULTIPLE_SHOT_DATA!AH3,0),0),IF(MULTIPLE_SHOT_DATA!AH4 &gt; 0,IF(MULTIPLE_SHOT_DATA!AI4&gt;0,MULTIPLE_SHOT_DATA!AI4/MULTIPLE_SHOT_DATA!AH4,0),0),IF(MULTIPLE_SHOT_DATA!AH5 &gt; 0,IF(MULTIPLE_SHOT_DATA!AI5&gt;0,MULTIPLE_SHOT_DATA!AI5/MULTIPLE_SHOT_DATA!AH5,0),0),IF(MULTIPLE_SHOT_DATA!AH6 &gt; 0,IF(MULTIPLE_SHOT_DATA!AI6&gt;0,MULTIPLE_SHOT_DATA!AI6/MULTIPLE_SHOT_DATA!AH6,0),0))/COUNTIF(MULTIPLE_SHOT_DATA!AH1:AH6,"&gt;0"),"")</f>
        <v>0.77202627328907647</v>
      </c>
      <c r="D17" s="9"/>
      <c r="E17" s="6">
        <f t="shared" si="0"/>
        <v>99</v>
      </c>
      <c r="F17" s="6">
        <f>COUNTIF(B$6:B$29,"&lt;=109")-COUNTIF(B$6:B$29,"&lt;100")</f>
        <v>0</v>
      </c>
      <c r="G17" s="8" t="s">
        <v>29</v>
      </c>
      <c r="H17" s="10">
        <f t="shared" si="1"/>
        <v>0</v>
      </c>
      <c r="I17" s="5"/>
      <c r="J17" s="5"/>
      <c r="K17" s="5"/>
      <c r="L17" s="5"/>
    </row>
    <row r="18" spans="1:12" ht="13.5" thickBot="1" x14ac:dyDescent="0.25">
      <c r="A18" s="17">
        <v>13</v>
      </c>
      <c r="B18" s="19" t="str">
        <f>IF(COUNTIF(MULTIPLE_SHOT_DATA!AK1:'MULTIPLE_SHOT_DATA'!AK100,"&gt;0")=0,"",COUNTIF(MULTIPLE_SHOT_DATA!AK1:'MULTIPLE_SHOT_DATA'!AK100,"&gt;0"))</f>
        <v/>
      </c>
      <c r="C18" s="20" t="str">
        <f>IFERROR(SUM(IF(MULTIPLE_SHOT_DATA!AK1 &gt; 0,IF(MULTIPLE_SHOT_DATA!AL1&gt;0,MULTIPLE_SHOT_DATA!AL1/MULTIPLE_SHOT_DATA!AK1,0),0),IF(MULTIPLE_SHOT_DATA!AK2 &gt; 0,IF(MULTIPLE_SHOT_DATA!AL2&gt;0,MULTIPLE_SHOT_DATA!AL2/MULTIPLE_SHOT_DATA!AK2,0),0),IF(MULTIPLE_SHOT_DATA!AK3 &gt; 0,IF(MULTIPLE_SHOT_DATA!AL3&gt;0,MULTIPLE_SHOT_DATA!AL3/MULTIPLE_SHOT_DATA!AK3,0),0),IF(MULTIPLE_SHOT_DATA!AK4 &gt; 0,IF(MULTIPLE_SHOT_DATA!AL4&gt;0,MULTIPLE_SHOT_DATA!AL4/MULTIPLE_SHOT_DATA!AK4,0),0),IF(MULTIPLE_SHOT_DATA!AK5 &gt; 0,IF(MULTIPLE_SHOT_DATA!AL5&gt;0,MULTIPLE_SHOT_DATA!AL5/MULTIPLE_SHOT_DATA!AK5,0),0),IF(MULTIPLE_SHOT_DATA!AK6 &gt; 0,IF(MULTIPLE_SHOT_DATA!AL6&gt;0,MULTIPLE_SHOT_DATA!AL6/MULTIPLE_SHOT_DATA!AK6,0),0))/COUNTIF(MULTIPLE_SHOT_DATA!AK1:AK6,"&gt;0"),"")</f>
        <v/>
      </c>
      <c r="D18" s="9"/>
      <c r="E18" s="6">
        <f t="shared" si="0"/>
        <v>108</v>
      </c>
      <c r="F18" s="6">
        <f>SUM(F7:F17)</f>
        <v>12</v>
      </c>
      <c r="G18" s="8" t="s">
        <v>7</v>
      </c>
      <c r="H18" s="10" t="s">
        <v>7</v>
      </c>
      <c r="I18" s="5"/>
      <c r="J18" s="5"/>
      <c r="K18" s="5"/>
      <c r="L18" s="5"/>
    </row>
    <row r="19" spans="1:12" ht="13.5" thickBot="1" x14ac:dyDescent="0.25">
      <c r="A19" s="17">
        <v>14</v>
      </c>
      <c r="B19" s="19" t="str">
        <f>IF(COUNTIF(MULTIPLE_SHOT_DATA!AN1:'MULTIPLE_SHOT_DATA'!AN100,"&gt;0")=0,"",COUNTIF(MULTIPLE_SHOT_DATA!AN1:'MULTIPLE_SHOT_DATA'!AN100,"&gt;0"))</f>
        <v/>
      </c>
      <c r="C19" s="20" t="str">
        <f>IFERROR(SUM(IF(MULTIPLE_SHOT_DATA!AN1 &gt; 0,IF(MULTIPLE_SHOT_DATA!AO1&gt;0,MULTIPLE_SHOT_DATA!AO1/MULTIPLE_SHOT_DATA!AN1,0),0),IF(MULTIPLE_SHOT_DATA!AN2 &gt; 0,IF(MULTIPLE_SHOT_DATA!AO2&gt;0,MULTIPLE_SHOT_DATA!AO2/MULTIPLE_SHOT_DATA!AN2,0),0),IF(MULTIPLE_SHOT_DATA!AN3 &gt; 0,IF(MULTIPLE_SHOT_DATA!AO3&gt;0,MULTIPLE_SHOT_DATA!AO3/MULTIPLE_SHOT_DATA!AN3,0),0),IF(MULTIPLE_SHOT_DATA!AN4 &gt; 0,IF(MULTIPLE_SHOT_DATA!AO4&gt;0,MULTIPLE_SHOT_DATA!AO4/MULTIPLE_SHOT_DATA!AN4,0),0),IF(MULTIPLE_SHOT_DATA!AN5 &gt; 0,IF(MULTIPLE_SHOT_DATA!AO5&gt;0,MULTIPLE_SHOT_DATA!AO5/MULTIPLE_SHOT_DATA!AN5,0),0),IF(MULTIPLE_SHOT_DATA!AN6 &gt; 0,IF(MULTIPLE_SHOT_DATA!AO6&gt;0,MULTIPLE_SHOT_DATA!AO6/MULTIPLE_SHOT_DATA!AN6,0),0))/COUNTIF(MULTIPLE_SHOT_DATA!AN1:AN6,"&gt;0"),"")</f>
        <v/>
      </c>
      <c r="D19" s="9"/>
      <c r="E19" s="5"/>
      <c r="F19" s="5"/>
      <c r="G19" s="6"/>
      <c r="H19" s="6"/>
      <c r="I19" s="5"/>
      <c r="J19" s="5"/>
      <c r="K19" s="5"/>
      <c r="L19" s="5"/>
    </row>
    <row r="20" spans="1:12" ht="13.5" thickBot="1" x14ac:dyDescent="0.25">
      <c r="A20" s="17">
        <v>15</v>
      </c>
      <c r="B20" s="19" t="str">
        <f>IF(COUNTIF(MULTIPLE_SHOT_DATA!AQ1:'MULTIPLE_SHOT_DATA'!AQ100,"&gt;0")=0,"",COUNTIF(MULTIPLE_SHOT_DATA!AQ1:'MULTIPLE_SHOT_DATA'!AQ100,"&gt;0"))</f>
        <v/>
      </c>
      <c r="C20" s="20" t="str">
        <f>IFERROR(SUM(IF(MULTIPLE_SHOT_DATA!AQ1 &gt; 0,IF(MULTIPLE_SHOT_DATA!AR1&gt;0,MULTIPLE_SHOT_DATA!AR1/MULTIPLE_SHOT_DATA!AQ1,0),0),IF(MULTIPLE_SHOT_DATA!AQ2 &gt; 0,IF(MULTIPLE_SHOT_DATA!AR2&gt;0,MULTIPLE_SHOT_DATA!AR2/MULTIPLE_SHOT_DATA!AQ2,0),0),IF(MULTIPLE_SHOT_DATA!AQ3 &gt; 0,IF(MULTIPLE_SHOT_DATA!AR3&gt;0,MULTIPLE_SHOT_DATA!AR3/MULTIPLE_SHOT_DATA!AQ3,0),0),IF(MULTIPLE_SHOT_DATA!AQ4 &gt; 0,IF(MULTIPLE_SHOT_DATA!AR4&gt;0,MULTIPLE_SHOT_DATA!AR4/MULTIPLE_SHOT_DATA!AQ4,0),0),IF(MULTIPLE_SHOT_DATA!AQ5 &gt; 0,IF(MULTIPLE_SHOT_DATA!AR5&gt;0,MULTIPLE_SHOT_DATA!AR5/MULTIPLE_SHOT_DATA!AQ5,0),0),IF(MULTIPLE_SHOT_DATA!AQ6 &gt; 0,IF(MULTIPLE_SHOT_DATA!AR6&gt;0,MULTIPLE_SHOT_DATA!AR6/MULTIPLE_SHOT_DATA!AQ6,0),0))/COUNTIF(MULTIPLE_SHOT_DATA!AQ1:AQ6,"&gt;0"),"")</f>
        <v/>
      </c>
      <c r="D20" s="9"/>
      <c r="E20" s="5"/>
      <c r="F20" s="5"/>
      <c r="G20" s="6"/>
      <c r="H20" s="6"/>
      <c r="I20" s="5"/>
      <c r="J20" s="5"/>
      <c r="K20" s="5"/>
      <c r="L20" s="5"/>
    </row>
    <row r="21" spans="1:12" ht="13.5" thickBot="1" x14ac:dyDescent="0.25">
      <c r="A21" s="17">
        <v>16</v>
      </c>
      <c r="B21" s="19" t="str">
        <f>IF(COUNTIF(MULTIPLE_SHOT_DATA!AT1:'MULTIPLE_SHOT_DATA'!AT100,"&gt;0")=0,"",COUNTIF(MULTIPLE_SHOT_DATA!AT1:'MULTIPLE_SHOT_DATA'!AT100,"&gt;0"))</f>
        <v/>
      </c>
      <c r="C21" s="20" t="str">
        <f>IFERROR(SUM(IF(MULTIPLE_SHOT_DATA!AT1 &gt; 0,IF(MULTIPLE_SHOT_DATA!AU1&gt;0,MULTIPLE_SHOT_DATA!AU1/MULTIPLE_SHOT_DATA!AT1,0),0),IF(MULTIPLE_SHOT_DATA!AT2 &gt; 0,IF(MULTIPLE_SHOT_DATA!AU2&gt;0,MULTIPLE_SHOT_DATA!AU2/MULTIPLE_SHOT_DATA!AT2,0),0),IF(MULTIPLE_SHOT_DATA!AT3 &gt; 0,IF(MULTIPLE_SHOT_DATA!AU3&gt;0,MULTIPLE_SHOT_DATA!AU3/MULTIPLE_SHOT_DATA!AT3,0),0),IF(MULTIPLE_SHOT_DATA!AT4 &gt; 0,IF(MULTIPLE_SHOT_DATA!AU4&gt;0,MULTIPLE_SHOT_DATA!AU4/MULTIPLE_SHOT_DATA!AT4,0),0),IF(MULTIPLE_SHOT_DATA!AT5 &gt; 0,IF(MULTIPLE_SHOT_DATA!AU5&gt;0,MULTIPLE_SHOT_DATA!AU5/MULTIPLE_SHOT_DATA!AT5,0),0),IF(MULTIPLE_SHOT_DATA!AT6 &gt; 0,IF(MULTIPLE_SHOT_DATA!AU6&gt;0,MULTIPLE_SHOT_DATA!AU6/MULTIPLE_SHOT_DATA!AT6,0),0))/COUNTIF(MULTIPLE_SHOT_DATA!AT1:AT6,"&gt;0"),"")</f>
        <v/>
      </c>
      <c r="D21" s="9"/>
      <c r="E21" s="5"/>
      <c r="F21" s="5"/>
      <c r="G21" s="5"/>
      <c r="H21" s="5"/>
      <c r="I21" s="5"/>
      <c r="J21" s="5"/>
      <c r="K21" s="5"/>
      <c r="L21" s="5"/>
    </row>
    <row r="22" spans="1:12" ht="13.5" thickBot="1" x14ac:dyDescent="0.25">
      <c r="A22" s="17">
        <v>17</v>
      </c>
      <c r="B22" s="19" t="str">
        <f>IF(COUNTIF(MULTIPLE_SHOT_DATA!AW1:'MULTIPLE_SHOT_DATA'!AW100,"&gt;0")=0,"",COUNTIF(MULTIPLE_SHOT_DATA!AW1:'MULTIPLE_SHOT_DATA'!AW100,"&gt;0"))</f>
        <v/>
      </c>
      <c r="C22" s="20" t="str">
        <f>IFERROR(SUM(IF(MULTIPLE_SHOT_DATA!AW1 &gt; 0,IF(MULTIPLE_SHOT_DATA!AX1&gt;0,MULTIPLE_SHOT_DATA!AX1/MULTIPLE_SHOT_DATA!AW1,0),0),IF(MULTIPLE_SHOT_DATA!AW2 &gt; 0,IF(MULTIPLE_SHOT_DATA!AX2&gt;0,MULTIPLE_SHOT_DATA!AX2/MULTIPLE_SHOT_DATA!AW2,0),0),IF(MULTIPLE_SHOT_DATA!AW3 &gt; 0,IF(MULTIPLE_SHOT_DATA!AX3&gt;0,MULTIPLE_SHOT_DATA!AX3/MULTIPLE_SHOT_DATA!AW3,0),0),IF(MULTIPLE_SHOT_DATA!AW4 &gt; 0,IF(MULTIPLE_SHOT_DATA!AX4&gt;0,MULTIPLE_SHOT_DATA!AX4/MULTIPLE_SHOT_DATA!AW4,0),0),IF(MULTIPLE_SHOT_DATA!AW5 &gt; 0,IF(MULTIPLE_SHOT_DATA!AX5&gt;0,MULTIPLE_SHOT_DATA!AX5/MULTIPLE_SHOT_DATA!AW5,0),0),IF(MULTIPLE_SHOT_DATA!AW6 &gt; 0,IF(MULTIPLE_SHOT_DATA!AX6&gt;0,MULTIPLE_SHOT_DATA!AX6/MULTIPLE_SHOT_DATA!AW6,0),0))/COUNTIF(MULTIPLE_SHOT_DATA!AW1:AW6,"&gt;0"),"")</f>
        <v/>
      </c>
      <c r="D22" s="9"/>
      <c r="E22" s="5"/>
      <c r="F22" s="5"/>
      <c r="G22" s="5"/>
      <c r="H22" s="5"/>
      <c r="I22" s="6"/>
      <c r="J22" s="6"/>
      <c r="K22" s="5"/>
      <c r="L22" s="5"/>
    </row>
    <row r="23" spans="1:12" ht="13.5" thickBot="1" x14ac:dyDescent="0.25">
      <c r="A23" s="17">
        <v>18</v>
      </c>
      <c r="B23" s="19" t="str">
        <f>IF(COUNTIF(MULTIPLE_SHOT_DATA!AZ1:'MULTIPLE_SHOT_DATA'!AZ100,"&gt;0")=0,"",COUNTIF(MULTIPLE_SHOT_DATA!AZ1:'MULTIPLE_SHOT_DATA'!AZ100,"&gt;0"))</f>
        <v/>
      </c>
      <c r="C23" s="20" t="str">
        <f>IFERROR(SUM(IF(MULTIPLE_SHOT_DATA!AZ1 &gt; 0,IF(MULTIPLE_SHOT_DATA!BA1&gt;0,MULTIPLE_SHOT_DATA!BA1/MULTIPLE_SHOT_DATA!AZ1,0),0),IF(MULTIPLE_SHOT_DATA!AZ2 &gt; 0,IF(MULTIPLE_SHOT_DATA!BA2&gt;0,MULTIPLE_SHOT_DATA!BA2/MULTIPLE_SHOT_DATA!AZ2,0),0),IF(MULTIPLE_SHOT_DATA!AZ3 &gt; 0,IF(MULTIPLE_SHOT_DATA!BA3&gt;0,MULTIPLE_SHOT_DATA!BA3/MULTIPLE_SHOT_DATA!AZ3,0),0),IF(MULTIPLE_SHOT_DATA!AZ4 &gt; 0,IF(MULTIPLE_SHOT_DATA!BA4&gt;0,MULTIPLE_SHOT_DATA!BA4/MULTIPLE_SHOT_DATA!AZ4,0),0),IF(MULTIPLE_SHOT_DATA!AZ5 &gt; 0,IF(MULTIPLE_SHOT_DATA!BA5&gt;0,MULTIPLE_SHOT_DATA!BA5/MULTIPLE_SHOT_DATA!AZ5,0),0),IF(MULTIPLE_SHOT_DATA!AZ6 &gt; 0,IF(MULTIPLE_SHOT_DATA!BA6&gt;0,MULTIPLE_SHOT_DATA!BA6/MULTIPLE_SHOT_DATA!AZ6,0),0))/COUNTIF(MULTIPLE_SHOT_DATA!AZ1:AZ6,"&gt;0"),"")</f>
        <v/>
      </c>
      <c r="D23" s="9"/>
      <c r="E23" s="5"/>
      <c r="F23" s="5"/>
      <c r="G23" s="5"/>
      <c r="H23" s="5"/>
      <c r="I23" s="6"/>
      <c r="J23" s="6"/>
      <c r="K23" s="5"/>
      <c r="L23" s="5"/>
    </row>
    <row r="24" spans="1:12" ht="13.5" thickBot="1" x14ac:dyDescent="0.25">
      <c r="A24" s="17">
        <v>19</v>
      </c>
      <c r="B24" s="19" t="str">
        <f>IF(COUNTIF(MULTIPLE_SHOT_DATA!BC1:'MULTIPLE_SHOT_DATA'!BC100,"&gt;0")=0,"",COUNTIF(MULTIPLE_SHOT_DATA!BC1:'MULTIPLE_SHOT_DATA'!BC100,"&gt;0"))</f>
        <v/>
      </c>
      <c r="C24" s="20" t="str">
        <f>IFERROR(SUM(IF(MULTIPLE_SHOT_DATA!BC1 &gt; 0,IF(MULTIPLE_SHOT_DATA!BD1&gt;0,MULTIPLE_SHOT_DATA!BD1/MULTIPLE_SHOT_DATA!BC1,0),0),IF(MULTIPLE_SHOT_DATA!BC2 &gt; 0,IF(MULTIPLE_SHOT_DATA!BD2&gt;0,MULTIPLE_SHOT_DATA!BD2/MULTIPLE_SHOT_DATA!BC2,0),0),IF(MULTIPLE_SHOT_DATA!BC3 &gt; 0,IF(MULTIPLE_SHOT_DATA!BD3&gt;0,MULTIPLE_SHOT_DATA!BD3/MULTIPLE_SHOT_DATA!BC3,0),0),IF(MULTIPLE_SHOT_DATA!BC4 &gt; 0,IF(MULTIPLE_SHOT_DATA!BD4&gt;0,MULTIPLE_SHOT_DATA!BD4/MULTIPLE_SHOT_DATA!BC4,0),0),IF(MULTIPLE_SHOT_DATA!BC5 &gt; 0,IF(MULTIPLE_SHOT_DATA!BD5&gt;0,MULTIPLE_SHOT_DATA!BD5/MULTIPLE_SHOT_DATA!BC5,0),0),IF(MULTIPLE_SHOT_DATA!BC6 &gt; 0,IF(MULTIPLE_SHOT_DATA!BD6&gt;0,MULTIPLE_SHOT_DATA!BD6/MULTIPLE_SHOT_DATA!BC6,0),0))/COUNTIF(MULTIPLE_SHOT_DATA!BC1:BC6,"&gt;0"),"")</f>
        <v/>
      </c>
      <c r="D24" s="9"/>
      <c r="E24" s="5"/>
      <c r="F24" s="5"/>
      <c r="G24" s="5"/>
      <c r="H24" s="5"/>
      <c r="I24" s="5"/>
      <c r="J24" s="5"/>
      <c r="K24" s="5"/>
      <c r="L24" s="5"/>
    </row>
    <row r="25" spans="1:12" ht="13.5" thickBot="1" x14ac:dyDescent="0.25">
      <c r="A25" s="17">
        <v>20</v>
      </c>
      <c r="B25" s="19" t="str">
        <f>IF(COUNTIF(MULTIPLE_SHOT_DATA!BF1:'MULTIPLE_SHOT_DATA'!BF100,"&gt;0")=0,"",COUNTIF(MULTIPLE_SHOT_DATA!BF1:'MULTIPLE_SHOT_DATA'!BF100,"&gt;0"))</f>
        <v/>
      </c>
      <c r="C25" s="20" t="str">
        <f>IFERROR(SUM(IF(MULTIPLE_SHOT_DATA!BF1 &gt; 0,IF(MULTIPLE_SHOT_DATA!BG1&gt;0,MULTIPLE_SHOT_DATA!BG1/MULTIPLE_SHOT_DATA!BF1,0),0),IF(MULTIPLE_SHOT_DATA!BF2 &gt; 0,IF(MULTIPLE_SHOT_DATA!BG2&gt;0,MULTIPLE_SHOT_DATA!BG2/MULTIPLE_SHOT_DATA!BF2,0),0),IF(MULTIPLE_SHOT_DATA!BF3 &gt; 0,IF(MULTIPLE_SHOT_DATA!BG3&gt;0,MULTIPLE_SHOT_DATA!BG3/MULTIPLE_SHOT_DATA!BF3,0),0),IF(MULTIPLE_SHOT_DATA!BF4 &gt; 0,IF(MULTIPLE_SHOT_DATA!BG4&gt;0,MULTIPLE_SHOT_DATA!BG4/MULTIPLE_SHOT_DATA!BF4,0),0),IF(MULTIPLE_SHOT_DATA!BF5 &gt; 0,IF(MULTIPLE_SHOT_DATA!BG5&gt;0,MULTIPLE_SHOT_DATA!BG5/MULTIPLE_SHOT_DATA!BF5,0),0),IF(MULTIPLE_SHOT_DATA!BF6 &gt; 0,IF(MULTIPLE_SHOT_DATA!BG6&gt;0,MULTIPLE_SHOT_DATA!BG6/MULTIPLE_SHOT_DATA!BF6,0),0))/COUNTIF(MULTIPLE_SHOT_DATA!BF1:BF6,"&gt;0"),"")</f>
        <v/>
      </c>
      <c r="D25" s="9"/>
      <c r="E25" s="5"/>
      <c r="F25" s="5"/>
      <c r="G25" s="5"/>
      <c r="H25" s="5"/>
      <c r="I25" s="5"/>
      <c r="J25" s="5"/>
      <c r="K25" s="5"/>
      <c r="L25" s="5"/>
    </row>
    <row r="26" spans="1:12" ht="13.5" thickBot="1" x14ac:dyDescent="0.25">
      <c r="A26" s="17">
        <v>21</v>
      </c>
      <c r="B26" s="19" t="str">
        <f>IF(COUNTIF(MULTIPLE_SHOT_DATA!BI1:'MULTIPLE_SHOT_DATA'!BI100,"&gt;0")=0,"",COUNTIF(MULTIPLE_SHOT_DATA!BI1:'MULTIPLE_SHOT_DATA'!BI100,"&gt;0"))</f>
        <v/>
      </c>
      <c r="C26" s="20" t="str">
        <f>IFERROR(SUM(IF(MULTIPLE_SHOT_DATA!BI1 &gt; 0,IF(MULTIPLE_SHOT_DATA!BJ1&gt;0,MULTIPLE_SHOT_DATA!BJ1/MULTIPLE_SHOT_DATA!BI1,0),0),IF(MULTIPLE_SHOT_DATA!BI2 &gt; 0,IF(MULTIPLE_SHOT_DATA!BJ2&gt;0,MULTIPLE_SHOT_DATA!BJ2/MULTIPLE_SHOT_DATA!BI2,0),0),IF(MULTIPLE_SHOT_DATA!BI3 &gt; 0,IF(MULTIPLE_SHOT_DATA!BJ3&gt;0,MULTIPLE_SHOT_DATA!BJ3/MULTIPLE_SHOT_DATA!BI3,0),0),IF(MULTIPLE_SHOT_DATA!BI4 &gt; 0,IF(MULTIPLE_SHOT_DATA!BJ4&gt;0,MULTIPLE_SHOT_DATA!BJ4/MULTIPLE_SHOT_DATA!BI4,0),0),IF(MULTIPLE_SHOT_DATA!BI5 &gt; 0,IF(MULTIPLE_SHOT_DATA!BJ5&gt;0,MULTIPLE_SHOT_DATA!BJ5/MULTIPLE_SHOT_DATA!BI5,0),0),IF(MULTIPLE_SHOT_DATA!BI6 &gt; 0,IF(MULTIPLE_SHOT_DATA!BJ6&gt;0,MULTIPLE_SHOT_DATA!BJ6/MULTIPLE_SHOT_DATA!BI6,0),0))/COUNTIF(MULTIPLE_SHOT_DATA!BI1:BI6,"&gt;0"),"")</f>
        <v/>
      </c>
      <c r="D26" s="9"/>
      <c r="E26" s="5"/>
      <c r="F26" s="5"/>
      <c r="G26" s="5"/>
      <c r="H26" s="5"/>
      <c r="I26" s="5"/>
      <c r="J26" s="5"/>
      <c r="K26" s="5"/>
      <c r="L26" s="11"/>
    </row>
    <row r="27" spans="1:12" ht="13.5" thickBot="1" x14ac:dyDescent="0.25">
      <c r="A27" s="17">
        <v>22</v>
      </c>
      <c r="B27" s="19" t="str">
        <f>IF(COUNTIF(MULTIPLE_SHOT_DATA!BL1:'MULTIPLE_SHOT_DATA'!BL100,"&gt;0")=0,"",COUNTIF(MULTIPLE_SHOT_DATA!BL1:'MULTIPLE_SHOT_DATA'!BL100,"&gt;0"))</f>
        <v/>
      </c>
      <c r="C27" s="20" t="str">
        <f>IFERROR(SUM(IF(MULTIPLE_SHOT_DATA!BL1 &gt; 0,IF(MULTIPLE_SHOT_DATA!BM1&gt;0,MULTIPLE_SHOT_DATA!BM1/MULTIPLE_SHOT_DATA!BL1,0),0),IF(MULTIPLE_SHOT_DATA!BL2 &gt; 0,IF(MULTIPLE_SHOT_DATA!BM2&gt;0,MULTIPLE_SHOT_DATA!BM2/MULTIPLE_SHOT_DATA!BL2,0),0),IF(MULTIPLE_SHOT_DATA!BL3 &gt; 0,IF(MULTIPLE_SHOT_DATA!BM3&gt;0,MULTIPLE_SHOT_DATA!BM3/MULTIPLE_SHOT_DATA!BL3,0),0),IF(MULTIPLE_SHOT_DATA!BL4 &gt; 0,IF(MULTIPLE_SHOT_DATA!BM4&gt;0,MULTIPLE_SHOT_DATA!BM4/MULTIPLE_SHOT_DATA!BL4,0),0),IF(MULTIPLE_SHOT_DATA!BL5 &gt; 0,IF(MULTIPLE_SHOT_DATA!BM5&gt;0,MULTIPLE_SHOT_DATA!BM5/MULTIPLE_SHOT_DATA!BL5,0),0),IF(MULTIPLE_SHOT_DATA!BL6 &gt; 0,IF(MULTIPLE_SHOT_DATA!BM6&gt;0,MULTIPLE_SHOT_DATA!BM6/MULTIPLE_SHOT_DATA!BL6,0),0))/COUNTIF(MULTIPLE_SHOT_DATA!BL1:BL6,"&gt;0"),"")</f>
        <v/>
      </c>
      <c r="D27" s="9"/>
      <c r="E27" s="5"/>
      <c r="F27" s="5"/>
      <c r="G27" s="5"/>
      <c r="H27" s="5"/>
      <c r="I27" s="5"/>
      <c r="J27" s="5"/>
      <c r="K27" s="5"/>
      <c r="L27" s="5"/>
    </row>
    <row r="28" spans="1:12" ht="13.5" thickBot="1" x14ac:dyDescent="0.25">
      <c r="A28" s="17">
        <v>23</v>
      </c>
      <c r="B28" s="19" t="str">
        <f>IF(COUNTIF(MULTIPLE_SHOT_DATA!BO1:'MULTIPLE_SHOT_DATA'!BO100,"&gt;0")=0,"",COUNTIF(MULTIPLE_SHOT_DATA!BO1:'MULTIPLE_SHOT_DATA'!BO100,"&gt;0"))</f>
        <v/>
      </c>
      <c r="C28" s="20" t="str">
        <f>IFERROR(SUM(IF(MULTIPLE_SHOT_DATA!BO1 &gt; 0,IF(MULTIPLE_SHOT_DATA!BP1&gt;0,MULTIPLE_SHOT_DATA!BP1/MULTIPLE_SHOT_DATA!BO1,0),0),IF(MULTIPLE_SHOT_DATA!BO2 &gt; 0,IF(MULTIPLE_SHOT_DATA!BP2&gt;0,MULTIPLE_SHOT_DATA!BP2/MULTIPLE_SHOT_DATA!BO2,0),0),IF(MULTIPLE_SHOT_DATA!BO3 &gt; 0,IF(MULTIPLE_SHOT_DATA!BP3&gt;0,MULTIPLE_SHOT_DATA!BP3/MULTIPLE_SHOT_DATA!BO3,0),0),IF(MULTIPLE_SHOT_DATA!BO4 &gt; 0,IF(MULTIPLE_SHOT_DATA!BP4&gt;0,MULTIPLE_SHOT_DATA!BP4/MULTIPLE_SHOT_DATA!BO4,0),0),IF(MULTIPLE_SHOT_DATA!BO5 &gt; 0,IF(MULTIPLE_SHOT_DATA!BP5&gt;0,MULTIPLE_SHOT_DATA!BP5/MULTIPLE_SHOT_DATA!BO5,0),0),IF(MULTIPLE_SHOT_DATA!BO6 &gt; 0,IF(MULTIPLE_SHOT_DATA!BP6&gt;0,MULTIPLE_SHOT_DATA!BP6/MULTIPLE_SHOT_DATA!BO6,0),0))/COUNTIF(MULTIPLE_SHOT_DATA!BO1:BO6,"&gt;0"),"")</f>
        <v/>
      </c>
      <c r="D28" s="9"/>
      <c r="E28" s="5"/>
      <c r="F28" s="5"/>
      <c r="G28" s="5"/>
      <c r="H28" s="5"/>
      <c r="I28" s="5"/>
      <c r="J28" s="5"/>
      <c r="K28" s="5"/>
      <c r="L28" s="5"/>
    </row>
    <row r="29" spans="1:12" ht="13.5" thickBot="1" x14ac:dyDescent="0.25">
      <c r="A29" s="23">
        <v>24</v>
      </c>
      <c r="B29" s="24" t="str">
        <f>IF(COUNTIF(MULTIPLE_SHOT_DATA!BR1:'MULTIPLE_SHOT_DATA'!BR100,"&gt;0")=0,"",COUNTIF(MULTIPLE_SHOT_DATA!BR1:'MULTIPLE_SHOT_DATA'!BR100,"&gt;0"))</f>
        <v/>
      </c>
      <c r="C29" s="25" t="str">
        <f>IFERROR(SUM(IF(MULTIPLE_SHOT_DATA!BR1 &gt; 0,IF(MULTIPLE_SHOT_DATA!BS1&gt;0,MULTIPLE_SHOT_DATA!BS1/MULTIPLE_SHOT_DATA!BR1,0),0),IF(MULTIPLE_SHOT_DATA!BR2 &gt; 0,IF(MULTIPLE_SHOT_DATA!BS2&gt;0,MULTIPLE_SHOT_DATA!BS2/MULTIPLE_SHOT_DATA!BR2,0),0),IF(MULTIPLE_SHOT_DATA!BR3 &gt; 0,IF(MULTIPLE_SHOT_DATA!BS3&gt;0,MULTIPLE_SHOT_DATA!BS3/MULTIPLE_SHOT_DATA!BR3,0),0),IF(MULTIPLE_SHOT_DATA!BR4 &gt; 0,IF(MULTIPLE_SHOT_DATA!BS4&gt;0,MULTIPLE_SHOT_DATA!BS4/MULTIPLE_SHOT_DATA!BR4,0),0),IF(MULTIPLE_SHOT_DATA!BR5 &gt; 0,IF(MULTIPLE_SHOT_DATA!BS5&gt;0,MULTIPLE_SHOT_DATA!BS5/MULTIPLE_SHOT_DATA!BR5,0),0),IF(MULTIPLE_SHOT_DATA!BR6 &gt; 0,IF(MULTIPLE_SHOT_DATA!BS6&gt;0,MULTIPLE_SHOT_DATA!BS6/MULTIPLE_SHOT_DATA!BR6,0),0))/COUNTIF(MULTIPLE_SHOT_DATA!BR1:BR6,"&gt;0"),"")</f>
        <v/>
      </c>
      <c r="D29" s="9"/>
      <c r="E29" s="5"/>
      <c r="F29" s="5"/>
      <c r="G29" s="5"/>
      <c r="H29" s="5"/>
      <c r="I29" s="5"/>
      <c r="J29" s="5"/>
      <c r="K29" s="5"/>
      <c r="L29" s="5"/>
    </row>
    <row r="30" spans="1:12" ht="14.25" thickTop="1" thickBot="1" x14ac:dyDescent="0.25">
      <c r="A30" s="21" t="s">
        <v>2</v>
      </c>
      <c r="B30" s="22">
        <f>AVERAGE(B6:B29)</f>
        <v>4</v>
      </c>
      <c r="C30" s="33">
        <f>AVERAGE(C6:C29)</f>
        <v>0.77105883993585866</v>
      </c>
      <c r="D30" s="12"/>
      <c r="E30" s="5"/>
      <c r="F30" s="5"/>
      <c r="G30" s="5"/>
      <c r="H30" s="5"/>
      <c r="I30" s="5"/>
      <c r="J30" s="5"/>
      <c r="K30" s="5"/>
      <c r="L30" s="5"/>
    </row>
    <row r="31" spans="1:12" ht="13.5" thickBot="1" x14ac:dyDescent="0.25">
      <c r="A31" s="15" t="s">
        <v>14</v>
      </c>
      <c r="B31" s="16">
        <f>STDEV(B6:B29)</f>
        <v>0</v>
      </c>
      <c r="C31" s="18">
        <f>STDEV(C6:C29)</f>
        <v>1.6259216295023522E-3</v>
      </c>
      <c r="D31" s="13"/>
      <c r="E31" s="6"/>
      <c r="F31" s="6"/>
      <c r="G31" s="5"/>
      <c r="H31" s="5"/>
      <c r="I31" s="5"/>
      <c r="J31" s="37" t="s">
        <v>30</v>
      </c>
      <c r="K31" s="14"/>
      <c r="L31" s="14"/>
    </row>
    <row r="32" spans="1:12" ht="13.5" thickBot="1" x14ac:dyDescent="0.25">
      <c r="A32" s="15" t="s">
        <v>3</v>
      </c>
      <c r="B32" s="17">
        <f>MAX(B6:B29)</f>
        <v>4</v>
      </c>
      <c r="C32" s="18">
        <f>MAX(C6:C29)</f>
        <v>0.77401469262660105</v>
      </c>
      <c r="D32" s="9"/>
      <c r="E32" s="38" t="s">
        <v>31</v>
      </c>
      <c r="F32" s="38"/>
      <c r="G32" s="39"/>
      <c r="H32" s="39"/>
      <c r="I32" s="39"/>
      <c r="J32" s="40">
        <v>12</v>
      </c>
      <c r="K32" s="41">
        <v>24</v>
      </c>
      <c r="L32" s="41">
        <v>36</v>
      </c>
    </row>
    <row r="33" spans="1:12" ht="13.5" thickBot="1" x14ac:dyDescent="0.25">
      <c r="A33" s="15" t="s">
        <v>4</v>
      </c>
      <c r="B33" s="17">
        <f>MIN(B6:B29)</f>
        <v>4</v>
      </c>
      <c r="C33" s="18">
        <f>MIN(C6:C29)</f>
        <v>0.7687686353559513</v>
      </c>
      <c r="D33" s="6"/>
      <c r="E33" s="5"/>
      <c r="F33" s="5"/>
      <c r="G33" s="8" t="s">
        <v>32</v>
      </c>
      <c r="H33" s="42" t="e">
        <f>NORMDIST(40,B30,B31,1)</f>
        <v>#NUM!</v>
      </c>
      <c r="I33" s="5"/>
      <c r="J33" s="43" t="e">
        <f>H33*$J$32</f>
        <v>#NUM!</v>
      </c>
      <c r="K33" s="43" t="e">
        <f>H33*$K$32</f>
        <v>#NUM!</v>
      </c>
      <c r="L33" s="43" t="e">
        <f>H33*$L$32</f>
        <v>#NUM!</v>
      </c>
    </row>
    <row r="34" spans="1:12" ht="13.5" thickBot="1" x14ac:dyDescent="0.25">
      <c r="A34" s="15" t="s">
        <v>5</v>
      </c>
      <c r="B34" s="17">
        <f>B32-B33</f>
        <v>0</v>
      </c>
      <c r="C34" s="18">
        <f>C32-C33</f>
        <v>5.246057270649751E-3</v>
      </c>
      <c r="D34" s="6"/>
      <c r="E34" s="5"/>
      <c r="F34" s="5"/>
      <c r="G34" s="8" t="s">
        <v>33</v>
      </c>
      <c r="H34" s="42" t="e">
        <f>NORMDIST(50,B$20,B$31,1)-NORMDIST(40,B$20,B$31,1)</f>
        <v>#VALUE!</v>
      </c>
      <c r="I34" s="5"/>
      <c r="J34" s="43" t="e">
        <f t="shared" ref="J34:J40" si="2">H34*$J$32</f>
        <v>#VALUE!</v>
      </c>
      <c r="K34" s="43" t="e">
        <f t="shared" ref="K34:K40" si="3">H34*$K$32</f>
        <v>#VALUE!</v>
      </c>
      <c r="L34" s="43" t="e">
        <f t="shared" ref="L34:L40" si="4">H34*$L$32</f>
        <v>#VALUE!</v>
      </c>
    </row>
    <row r="35" spans="1:12" ht="15" x14ac:dyDescent="0.2">
      <c r="A35" s="3"/>
      <c r="B35" s="2"/>
      <c r="C35" s="1"/>
      <c r="D35" s="1"/>
      <c r="E35" s="5"/>
      <c r="F35" s="5"/>
      <c r="G35" s="8" t="s">
        <v>34</v>
      </c>
      <c r="H35" s="42" t="e">
        <f>NORMDIST(60,B$20,B$31,1)-NORMDIST(50,B$20,B$31,1)</f>
        <v>#VALUE!</v>
      </c>
      <c r="I35" s="5"/>
      <c r="J35" s="43" t="e">
        <f t="shared" si="2"/>
        <v>#VALUE!</v>
      </c>
      <c r="K35" s="43" t="e">
        <f t="shared" si="3"/>
        <v>#VALUE!</v>
      </c>
      <c r="L35" s="43" t="e">
        <f t="shared" si="4"/>
        <v>#VALUE!</v>
      </c>
    </row>
    <row r="36" spans="1:12" ht="15" x14ac:dyDescent="0.2">
      <c r="A36" s="3"/>
      <c r="B36" s="2"/>
      <c r="C36" s="1"/>
      <c r="D36" s="1"/>
      <c r="E36" s="5"/>
      <c r="F36" s="5"/>
      <c r="G36" s="8" t="s">
        <v>35</v>
      </c>
      <c r="H36" s="42" t="e">
        <f>NORMDIST(70,B$20,B$31,1)-NORMDIST(60,B$20,B$31,1)</f>
        <v>#VALUE!</v>
      </c>
      <c r="I36" s="5"/>
      <c r="J36" s="43" t="e">
        <f t="shared" si="2"/>
        <v>#VALUE!</v>
      </c>
      <c r="K36" s="43" t="e">
        <f t="shared" si="3"/>
        <v>#VALUE!</v>
      </c>
      <c r="L36" s="43" t="e">
        <f t="shared" si="4"/>
        <v>#VALUE!</v>
      </c>
    </row>
    <row r="37" spans="1:12" ht="15" x14ac:dyDescent="0.2">
      <c r="A37" s="2"/>
      <c r="B37" s="2"/>
      <c r="C37" s="1"/>
      <c r="D37" s="1"/>
      <c r="E37" s="5"/>
      <c r="F37" s="5"/>
      <c r="G37" s="8" t="s">
        <v>36</v>
      </c>
      <c r="H37" s="42" t="e">
        <f>NORMDIST(80,B$20,B$31,1)-NORMDIST(70,B$20,B$31,1)</f>
        <v>#VALUE!</v>
      </c>
      <c r="I37" s="5"/>
      <c r="J37" s="43" t="e">
        <f t="shared" si="2"/>
        <v>#VALUE!</v>
      </c>
      <c r="K37" s="43" t="e">
        <f t="shared" si="3"/>
        <v>#VALUE!</v>
      </c>
      <c r="L37" s="43" t="e">
        <f t="shared" si="4"/>
        <v>#VALUE!</v>
      </c>
    </row>
    <row r="38" spans="1:12" x14ac:dyDescent="0.2">
      <c r="E38" s="5"/>
      <c r="F38" s="5"/>
      <c r="G38" s="8" t="s">
        <v>37</v>
      </c>
      <c r="H38" s="42" t="e">
        <f>NORMDIST(90,B$20,B$31,1)-NORMDIST(80,B$20,B$31,1)</f>
        <v>#VALUE!</v>
      </c>
      <c r="I38" s="5"/>
      <c r="J38" s="43" t="e">
        <f t="shared" si="2"/>
        <v>#VALUE!</v>
      </c>
      <c r="K38" s="43" t="e">
        <f t="shared" si="3"/>
        <v>#VALUE!</v>
      </c>
      <c r="L38" s="43" t="e">
        <f t="shared" si="4"/>
        <v>#VALUE!</v>
      </c>
    </row>
    <row r="39" spans="1:12" x14ac:dyDescent="0.2">
      <c r="E39" s="5"/>
      <c r="F39" s="5"/>
      <c r="G39" s="8" t="s">
        <v>38</v>
      </c>
      <c r="H39" s="42" t="e">
        <f>NORMDIST(100,B$20,B$31,1)-NORMDIST(90,B$20,B$31,1)</f>
        <v>#VALUE!</v>
      </c>
      <c r="I39" s="5"/>
      <c r="J39" s="43" t="e">
        <f t="shared" si="2"/>
        <v>#VALUE!</v>
      </c>
      <c r="K39" s="43" t="e">
        <f t="shared" si="3"/>
        <v>#VALUE!</v>
      </c>
      <c r="L39" s="43" t="e">
        <f t="shared" si="4"/>
        <v>#VALUE!</v>
      </c>
    </row>
    <row r="40" spans="1:12" x14ac:dyDescent="0.2">
      <c r="E40" s="44" t="s">
        <v>7</v>
      </c>
      <c r="F40" s="44"/>
      <c r="G40" s="8" t="s">
        <v>39</v>
      </c>
      <c r="H40" s="42" t="e">
        <f>NORMDIST(200,B$20,B$31,1)-NORMDIST(100,B$20,B$31,1)</f>
        <v>#VALUE!</v>
      </c>
      <c r="I40" s="5"/>
      <c r="J40" s="43" t="e">
        <f t="shared" si="2"/>
        <v>#VALUE!</v>
      </c>
      <c r="K40" s="43" t="e">
        <f t="shared" si="3"/>
        <v>#VALUE!</v>
      </c>
      <c r="L40" s="43" t="e">
        <f t="shared" si="4"/>
        <v>#VALUE!</v>
      </c>
    </row>
  </sheetData>
  <mergeCells count="2">
    <mergeCell ref="A1:L4"/>
    <mergeCell ref="D5:J5"/>
  </mergeCells>
  <phoneticPr fontId="0" type="noConversion"/>
  <pageMargins left="0.5" right="0.5" top="1" bottom="1" header="0.5" footer="0.5"/>
  <pageSetup scale="69"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C2:F24"/>
  <sheetViews>
    <sheetView zoomScaleNormal="100" workbookViewId="0">
      <selection activeCell="F4" sqref="F4"/>
    </sheetView>
  </sheetViews>
  <sheetFormatPr defaultRowHeight="12.75" x14ac:dyDescent="0.2"/>
  <cols>
    <col min="1" max="2" width="12.7109375" customWidth="1"/>
    <col min="3" max="4" width="11.28515625" customWidth="1"/>
    <col min="5" max="5" width="14.5703125" customWidth="1"/>
    <col min="6" max="6" width="9" bestFit="1" customWidth="1"/>
  </cols>
  <sheetData>
    <row r="2" spans="3:6" ht="12.75" customHeight="1" x14ac:dyDescent="0.2">
      <c r="C2" s="117" t="s">
        <v>47</v>
      </c>
      <c r="D2" s="117"/>
      <c r="E2" s="117"/>
      <c r="F2" s="85" t="s">
        <v>8</v>
      </c>
    </row>
    <row r="3" spans="3:6" ht="12.75" customHeight="1" x14ac:dyDescent="0.2">
      <c r="C3" s="118"/>
      <c r="D3" s="118"/>
      <c r="E3" s="118"/>
      <c r="F3" s="34">
        <v>20181007</v>
      </c>
    </row>
    <row r="4" spans="3:6" ht="16.5" customHeight="1" x14ac:dyDescent="0.2">
      <c r="C4" s="72" t="s">
        <v>0</v>
      </c>
      <c r="D4" s="72" t="s">
        <v>46</v>
      </c>
      <c r="E4" s="89"/>
      <c r="F4" s="72"/>
    </row>
    <row r="5" spans="3:6" x14ac:dyDescent="0.2">
      <c r="C5" s="73">
        <v>1</v>
      </c>
      <c r="D5" s="74">
        <f>EQUATION_SHEET!K24</f>
        <v>252.26833754929351</v>
      </c>
      <c r="E5" s="75">
        <f>EQUATION_SHEET!B20</f>
        <v>8</v>
      </c>
      <c r="F5" s="73">
        <f>EQUATION_SHEET!K13</f>
        <v>0.97497263229245357</v>
      </c>
    </row>
    <row r="6" spans="3:6" x14ac:dyDescent="0.2">
      <c r="C6" s="73">
        <v>2</v>
      </c>
      <c r="D6" s="74">
        <f>EQUATION_SHEET!K50</f>
        <v>252.44831827798009</v>
      </c>
      <c r="E6" s="75">
        <f>EQUATION_SHEET!B46</f>
        <v>8</v>
      </c>
      <c r="F6" s="73">
        <f>EQUATION_SHEET!K39</f>
        <v>0.99757097393437544</v>
      </c>
    </row>
    <row r="7" spans="3:6" x14ac:dyDescent="0.2">
      <c r="C7" s="73">
        <v>3</v>
      </c>
      <c r="D7" s="74">
        <f>EQUATION_SHEET!K76</f>
        <v>252.63211377264835</v>
      </c>
      <c r="E7" s="75">
        <f>EQUATION_SHEET!B72</f>
        <v>10</v>
      </c>
      <c r="F7" s="73">
        <f>EQUATION_SHEET!K65</f>
        <v>0.97429681459074369</v>
      </c>
    </row>
    <row r="8" spans="3:6" x14ac:dyDescent="0.2">
      <c r="C8" s="73">
        <v>4</v>
      </c>
      <c r="D8" s="74">
        <f>EQUATION_SHEET!K102</f>
        <v>252.18267950716219</v>
      </c>
      <c r="E8" s="75">
        <f>EQUATION_SHEET!B98</f>
        <v>5</v>
      </c>
      <c r="F8" s="73">
        <f>EQUATION_SHEET!K91</f>
        <v>0.99224002456432769</v>
      </c>
    </row>
    <row r="9" spans="3:6" x14ac:dyDescent="0.2">
      <c r="C9" s="73">
        <v>5</v>
      </c>
      <c r="D9" s="74">
        <f>EQUATION_SHEET!K128</f>
        <v>252.67324022712475</v>
      </c>
      <c r="E9" s="75">
        <f>EQUATION_SHEET!B124</f>
        <v>10</v>
      </c>
      <c r="F9" s="73">
        <f>EQUATION_SHEET!K117</f>
        <v>0.98070116457492618</v>
      </c>
    </row>
    <row r="10" spans="3:6" x14ac:dyDescent="0.2">
      <c r="C10" s="73">
        <v>6</v>
      </c>
      <c r="D10" s="74">
        <f>EQUATION_SHEET!K154</f>
        <v>252.34421902426357</v>
      </c>
      <c r="E10" s="75">
        <f>EQUATION_SHEET!B150</f>
        <v>11</v>
      </c>
      <c r="F10" s="73">
        <f>EQUATION_SHEET!K143</f>
        <v>0.99298834206403297</v>
      </c>
    </row>
    <row r="11" spans="3:6" x14ac:dyDescent="0.2">
      <c r="C11" s="73">
        <v>7</v>
      </c>
      <c r="D11" s="74">
        <f>EQUATION_SHEET!K180</f>
        <v>252.50673761086694</v>
      </c>
      <c r="E11" s="75">
        <f>EQUATION_SHEET!B176</f>
        <v>7</v>
      </c>
      <c r="F11" s="73">
        <f>EQUATION_SHEET!K169</f>
        <v>0.98659716996441738</v>
      </c>
    </row>
    <row r="12" spans="3:6" x14ac:dyDescent="0.2">
      <c r="C12" s="73">
        <v>8</v>
      </c>
      <c r="D12" s="74">
        <f>EQUATION_SHEET!K206</f>
        <v>252.28900882728135</v>
      </c>
      <c r="E12" s="75">
        <f>EQUATION_SHEET!B202</f>
        <v>9</v>
      </c>
      <c r="F12" s="73">
        <f>EQUATION_SHEET!K195</f>
        <v>0.98503748246937861</v>
      </c>
    </row>
    <row r="13" spans="3:6" x14ac:dyDescent="0.2">
      <c r="C13" s="73">
        <v>9</v>
      </c>
      <c r="D13" s="74">
        <f>EQUATION_SHEET!K232</f>
        <v>252.2992441824837</v>
      </c>
      <c r="E13" s="75">
        <f>EQUATION_SHEET!B228</f>
        <v>9</v>
      </c>
      <c r="F13" s="73">
        <f>EQUATION_SHEET!K221</f>
        <v>0.99835249669501025</v>
      </c>
    </row>
    <row r="14" spans="3:6" x14ac:dyDescent="0.2">
      <c r="C14" s="73">
        <v>10</v>
      </c>
      <c r="D14" s="74">
        <f>EQUATION_SHEET!K258</f>
        <v>252.4018092710503</v>
      </c>
      <c r="E14" s="75">
        <f>EQUATION_SHEET!B254</f>
        <v>11</v>
      </c>
      <c r="F14" s="73">
        <f>EQUATION_SHEET!K247</f>
        <v>0.99777794072254844</v>
      </c>
    </row>
    <row r="15" spans="3:6" x14ac:dyDescent="0.2">
      <c r="C15" s="73">
        <v>11</v>
      </c>
      <c r="D15" s="74">
        <f>EQUATION_SHEET!K284</f>
        <v>252.84246131301552</v>
      </c>
      <c r="E15" s="75">
        <f>EQUATION_SHEET!B280</f>
        <v>5</v>
      </c>
      <c r="F15" s="73">
        <f>EQUATION_SHEET!K273</f>
        <v>0.95384186641588287</v>
      </c>
    </row>
    <row r="16" spans="3:6" ht="13.5" thickBot="1" x14ac:dyDescent="0.25">
      <c r="C16" s="78">
        <v>12</v>
      </c>
      <c r="D16" s="79">
        <f>EQUATION_SHEET!K310</f>
        <v>251.59683258545016</v>
      </c>
      <c r="E16" s="80">
        <f>EQUATION_SHEET!B306</f>
        <v>3</v>
      </c>
      <c r="F16" s="78">
        <f>EQUATION_SHEET!K299</f>
        <v>0.99995536881343983</v>
      </c>
    </row>
    <row r="17" spans="3:6" ht="13.5" thickTop="1" x14ac:dyDescent="0.2">
      <c r="C17" s="81" t="s">
        <v>2</v>
      </c>
      <c r="D17" s="82">
        <f>AVERAGE(D5:D16)</f>
        <v>252.37375017905171</v>
      </c>
      <c r="E17" s="83">
        <f>AVERAGE(E5:E16)</f>
        <v>8</v>
      </c>
      <c r="F17" s="84">
        <f>AVERAGE(F5:F16)</f>
        <v>0.9861943564251282</v>
      </c>
    </row>
    <row r="18" spans="3:6" x14ac:dyDescent="0.2">
      <c r="C18" s="76" t="s">
        <v>14</v>
      </c>
      <c r="D18" s="74">
        <f>STDEV(D5:D16)</f>
        <v>0.31115541779851452</v>
      </c>
      <c r="E18" s="75">
        <f>STDEV(E5:E16)</f>
        <v>2.5584085962673253</v>
      </c>
      <c r="F18" s="77">
        <f>STDEV(F5:F16)</f>
        <v>1.3582538954048434E-2</v>
      </c>
    </row>
    <row r="19" spans="3:6" x14ac:dyDescent="0.2">
      <c r="C19" s="76" t="s">
        <v>3</v>
      </c>
      <c r="D19" s="74">
        <f>MAX(D5:D16)</f>
        <v>252.84246131301552</v>
      </c>
      <c r="E19" s="75">
        <f>MAX(E5:E16)</f>
        <v>11</v>
      </c>
      <c r="F19" s="74">
        <f>MAX(F5:F16)</f>
        <v>0.99995536881343983</v>
      </c>
    </row>
    <row r="20" spans="3:6" x14ac:dyDescent="0.2">
      <c r="C20" s="76" t="s">
        <v>4</v>
      </c>
      <c r="D20" s="74">
        <f>MIN(D5:D16)</f>
        <v>251.59683258545016</v>
      </c>
      <c r="E20" s="75">
        <f>MIN(E5:E16)</f>
        <v>3</v>
      </c>
      <c r="F20" s="74">
        <f>MIN(F5:F16)</f>
        <v>0.95384186641588287</v>
      </c>
    </row>
    <row r="21" spans="3:6" x14ac:dyDescent="0.2">
      <c r="C21" s="76" t="s">
        <v>5</v>
      </c>
      <c r="D21" s="74">
        <f>D19-D20</f>
        <v>1.2456287275653608</v>
      </c>
      <c r="E21" s="75">
        <f>E19-E20</f>
        <v>8</v>
      </c>
      <c r="F21" s="74">
        <f>F19-F20</f>
        <v>4.611350239755696E-2</v>
      </c>
    </row>
    <row r="22" spans="3:6" ht="15" x14ac:dyDescent="0.2">
      <c r="C22" s="3"/>
      <c r="D22" s="2"/>
      <c r="E22" s="1"/>
    </row>
    <row r="23" spans="3:6" ht="15" x14ac:dyDescent="0.2">
      <c r="C23" s="3"/>
      <c r="D23" s="2"/>
      <c r="E23" s="1"/>
    </row>
    <row r="24" spans="3:6" ht="15" x14ac:dyDescent="0.2">
      <c r="C24" s="2"/>
      <c r="D24" s="2"/>
      <c r="E24" s="1"/>
    </row>
  </sheetData>
  <mergeCells count="1">
    <mergeCell ref="C2:E3"/>
  </mergeCells>
  <conditionalFormatting sqref="E5:E16">
    <cfRule type="cellIs" dxfId="11" priority="5" operator="equal">
      <formula>11</formula>
    </cfRule>
    <cfRule type="cellIs" dxfId="10" priority="6" operator="greaterThan">
      <formula>11</formula>
    </cfRule>
  </conditionalFormatting>
  <conditionalFormatting sqref="F5:F16">
    <cfRule type="cellIs" dxfId="9" priority="3" operator="between">
      <formula>0.909</formula>
      <formula>0.9</formula>
    </cfRule>
    <cfRule type="cellIs" dxfId="8" priority="4" operator="lessThan">
      <formula>0.9</formula>
    </cfRule>
  </conditionalFormatting>
  <conditionalFormatting sqref="D5:D16">
    <cfRule type="cellIs" dxfId="7" priority="1" operator="greaterThan">
      <formula>250</formula>
    </cfRule>
    <cfRule type="cellIs" dxfId="6" priority="2" operator="greaterThan">
      <formula>255</formula>
    </cfRule>
  </conditionalFormatting>
  <pageMargins left="0.5" right="0.5" top="1" bottom="1" header="0.5" footer="0.5"/>
  <pageSetup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9F64-74C3-4393-ADFA-B76AC2691CBD}">
  <sheetPr codeName="Sheet9">
    <pageSetUpPr fitToPage="1"/>
  </sheetPr>
  <dimension ref="C2:H24"/>
  <sheetViews>
    <sheetView zoomScaleNormal="100" workbookViewId="0">
      <selection activeCell="H4" sqref="H4"/>
    </sheetView>
  </sheetViews>
  <sheetFormatPr defaultRowHeight="12.75" x14ac:dyDescent="0.2"/>
  <cols>
    <col min="1" max="2" width="12.7109375" customWidth="1"/>
    <col min="3" max="4" width="11.28515625" customWidth="1"/>
    <col min="5" max="5" width="14.5703125" customWidth="1"/>
    <col min="6" max="6" width="9" bestFit="1" customWidth="1"/>
    <col min="7" max="7" width="9.85546875" customWidth="1"/>
    <col min="8" max="8" width="11" customWidth="1"/>
  </cols>
  <sheetData>
    <row r="2" spans="3:8" ht="12.75" customHeight="1" x14ac:dyDescent="0.2">
      <c r="C2" s="117" t="s">
        <v>47</v>
      </c>
      <c r="D2" s="117"/>
      <c r="E2" s="117"/>
      <c r="F2" s="117"/>
      <c r="G2" s="117"/>
      <c r="H2" s="85" t="s">
        <v>8</v>
      </c>
    </row>
    <row r="3" spans="3:8" ht="12.75" customHeight="1" x14ac:dyDescent="0.2">
      <c r="C3" s="118"/>
      <c r="D3" s="118"/>
      <c r="E3" s="118"/>
      <c r="F3" s="118"/>
      <c r="G3" s="118"/>
      <c r="H3" s="34">
        <v>20190513</v>
      </c>
    </row>
    <row r="4" spans="3:8" ht="16.5" customHeight="1" x14ac:dyDescent="0.2">
      <c r="C4" s="72" t="s">
        <v>0</v>
      </c>
      <c r="D4" s="72" t="s">
        <v>46</v>
      </c>
      <c r="E4" s="89"/>
      <c r="F4" s="72"/>
      <c r="G4" s="72" t="s">
        <v>54</v>
      </c>
      <c r="H4" s="72" t="s">
        <v>69</v>
      </c>
    </row>
    <row r="5" spans="3:8" x14ac:dyDescent="0.2">
      <c r="C5" s="73">
        <v>1</v>
      </c>
      <c r="D5" s="74">
        <f>EQUATION_SHEET!K24</f>
        <v>252.26833754929351</v>
      </c>
      <c r="E5" s="75">
        <f>EQUATION_SHEET!B20</f>
        <v>8</v>
      </c>
      <c r="F5" s="73">
        <f>EQUATION_SHEET!K13</f>
        <v>0.97497263229245357</v>
      </c>
      <c r="G5" s="90">
        <f>EQUATION_SHEET!K12</f>
        <v>0.7736335960566102</v>
      </c>
      <c r="H5" s="92">
        <f>EQUATION_SHEET!K23</f>
        <v>527.47781088302554</v>
      </c>
    </row>
    <row r="6" spans="3:8" x14ac:dyDescent="0.2">
      <c r="C6" s="73">
        <v>2</v>
      </c>
      <c r="D6" s="74">
        <f>EQUATION_SHEET!K50</f>
        <v>252.44831827798009</v>
      </c>
      <c r="E6" s="75">
        <f>EQUATION_SHEET!B46</f>
        <v>8</v>
      </c>
      <c r="F6" s="73">
        <f>EQUATION_SHEET!K39</f>
        <v>0.99757097393437544</v>
      </c>
      <c r="G6" s="90">
        <f>EQUATION_SHEET!K38</f>
        <v>0.77363994534156855</v>
      </c>
      <c r="H6" s="92">
        <f>EQUATION_SHEET!K49</f>
        <v>536.90493304864572</v>
      </c>
    </row>
    <row r="7" spans="3:8" x14ac:dyDescent="0.2">
      <c r="C7" s="73">
        <v>3</v>
      </c>
      <c r="D7" s="74">
        <f>EQUATION_SHEET!K76</f>
        <v>252.63211377264835</v>
      </c>
      <c r="E7" s="75">
        <f>EQUATION_SHEET!B72</f>
        <v>10</v>
      </c>
      <c r="F7" s="73">
        <f>EQUATION_SHEET!K65</f>
        <v>0.97429681459074369</v>
      </c>
      <c r="G7" s="90">
        <f>EQUATION_SHEET!K64</f>
        <v>0.77590212202560727</v>
      </c>
      <c r="H7" s="92">
        <f>EQUATION_SHEET!K75</f>
        <v>530.35023897673955</v>
      </c>
    </row>
    <row r="8" spans="3:8" x14ac:dyDescent="0.2">
      <c r="C8" s="73">
        <v>4</v>
      </c>
      <c r="D8" s="74">
        <f>EQUATION_SHEET!K102</f>
        <v>252.18267950716219</v>
      </c>
      <c r="E8" s="75">
        <f>EQUATION_SHEET!B98</f>
        <v>5</v>
      </c>
      <c r="F8" s="73">
        <f>EQUATION_SHEET!K91</f>
        <v>0.99224002456432769</v>
      </c>
      <c r="G8" s="90">
        <f>EQUATION_SHEET!K90</f>
        <v>0.77254387594676477</v>
      </c>
      <c r="H8" s="92">
        <f>EQUATION_SHEET!K101</f>
        <v>530.78680082200742</v>
      </c>
    </row>
    <row r="9" spans="3:8" x14ac:dyDescent="0.2">
      <c r="C9" s="73">
        <v>5</v>
      </c>
      <c r="D9" s="74">
        <f>EQUATION_SHEET!K128</f>
        <v>252.67324022712475</v>
      </c>
      <c r="E9" s="75">
        <f>EQUATION_SHEET!B124</f>
        <v>10</v>
      </c>
      <c r="F9" s="73">
        <f>EQUATION_SHEET!K117</f>
        <v>0.98070116457492618</v>
      </c>
      <c r="G9" s="90">
        <f>EQUATION_SHEET!K116</f>
        <v>0.77652941023821342</v>
      </c>
      <c r="H9" s="92">
        <f>EQUATION_SHEET!K127</f>
        <v>528.01482166611891</v>
      </c>
    </row>
    <row r="10" spans="3:8" x14ac:dyDescent="0.2">
      <c r="C10" s="73">
        <v>6</v>
      </c>
      <c r="D10" s="74">
        <f>EQUATION_SHEET!K154</f>
        <v>252.34421902426357</v>
      </c>
      <c r="E10" s="75">
        <f>EQUATION_SHEET!B150</f>
        <v>11</v>
      </c>
      <c r="F10" s="73">
        <f>EQUATION_SHEET!K143</f>
        <v>0.99298834206403297</v>
      </c>
      <c r="G10" s="90">
        <f>EQUATION_SHEET!K142</f>
        <v>0.7753324275933039</v>
      </c>
      <c r="H10" s="92">
        <f>EQUATION_SHEET!K153</f>
        <v>519.28469175243231</v>
      </c>
    </row>
    <row r="11" spans="3:8" x14ac:dyDescent="0.2">
      <c r="C11" s="73">
        <v>7</v>
      </c>
      <c r="D11" s="74">
        <f>EQUATION_SHEET!K180</f>
        <v>252.50673761086694</v>
      </c>
      <c r="E11" s="75">
        <f>EQUATION_SHEET!B176</f>
        <v>7</v>
      </c>
      <c r="F11" s="73">
        <f>EQUATION_SHEET!K169</f>
        <v>0.98659716996441738</v>
      </c>
      <c r="G11" s="90">
        <f>EQUATION_SHEET!K168</f>
        <v>0.77398697478654777</v>
      </c>
      <c r="H11" s="92">
        <f>EQUATION_SHEET!K179</f>
        <v>537.49015512949859</v>
      </c>
    </row>
    <row r="12" spans="3:8" x14ac:dyDescent="0.2">
      <c r="C12" s="73">
        <v>8</v>
      </c>
      <c r="D12" s="74">
        <f>EQUATION_SHEET!K206</f>
        <v>252.28900882728135</v>
      </c>
      <c r="E12" s="75">
        <f>EQUATION_SHEET!B202</f>
        <v>9</v>
      </c>
      <c r="F12" s="73">
        <f>EQUATION_SHEET!K195</f>
        <v>0.98503748246937861</v>
      </c>
      <c r="G12" s="90">
        <f>EQUATION_SHEET!K194</f>
        <v>0.77256798191912202</v>
      </c>
      <c r="H12" s="92">
        <f>EQUATION_SHEET!K205</f>
        <v>536.21015219499952</v>
      </c>
    </row>
    <row r="13" spans="3:8" x14ac:dyDescent="0.2">
      <c r="C13" s="73">
        <v>9</v>
      </c>
      <c r="D13" s="74">
        <f>EQUATION_SHEET!K232</f>
        <v>252.2992441824837</v>
      </c>
      <c r="E13" s="75">
        <f>EQUATION_SHEET!B228</f>
        <v>9</v>
      </c>
      <c r="F13" s="73">
        <f>EQUATION_SHEET!K221</f>
        <v>0.99835249669501025</v>
      </c>
      <c r="G13" s="90">
        <f>EQUATION_SHEET!K220</f>
        <v>0.77433714291497147</v>
      </c>
      <c r="H13" s="92">
        <f>EQUATION_SHEET!K231</f>
        <v>524.05745279858309</v>
      </c>
    </row>
    <row r="14" spans="3:8" x14ac:dyDescent="0.2">
      <c r="C14" s="73">
        <v>10</v>
      </c>
      <c r="D14" s="74">
        <f>EQUATION_SHEET!K258</f>
        <v>252.4018092710503</v>
      </c>
      <c r="E14" s="75">
        <f>EQUATION_SHEET!B254</f>
        <v>11</v>
      </c>
      <c r="F14" s="73">
        <f>EQUATION_SHEET!K247</f>
        <v>0.99777794072254844</v>
      </c>
      <c r="G14" s="90">
        <f>EQUATION_SHEET!K246</f>
        <v>0.77318552786808614</v>
      </c>
      <c r="H14" s="92">
        <f>EQUATION_SHEET!K257</f>
        <v>537.71693803316589</v>
      </c>
    </row>
    <row r="15" spans="3:8" x14ac:dyDescent="0.2">
      <c r="C15" s="73">
        <v>11</v>
      </c>
      <c r="D15" s="74">
        <f>EQUATION_SHEET!K284</f>
        <v>252.84246131301552</v>
      </c>
      <c r="E15" s="75">
        <f>EQUATION_SHEET!B280</f>
        <v>5</v>
      </c>
      <c r="F15" s="73">
        <f>EQUATION_SHEET!K273</f>
        <v>0.95384186641588287</v>
      </c>
      <c r="G15" s="90">
        <f>EQUATION_SHEET!K272</f>
        <v>0.77743622319603256</v>
      </c>
      <c r="H15" s="92">
        <f>EQUATION_SHEET!K283</f>
        <v>530.41600481032867</v>
      </c>
    </row>
    <row r="16" spans="3:8" ht="13.5" thickBot="1" x14ac:dyDescent="0.25">
      <c r="C16" s="78">
        <v>12</v>
      </c>
      <c r="D16" s="79">
        <f>EQUATION_SHEET!K310</f>
        <v>251.59683258545016</v>
      </c>
      <c r="E16" s="80">
        <f>EQUATION_SHEET!B306</f>
        <v>3</v>
      </c>
      <c r="F16" s="78">
        <f>EQUATION_SHEET!K299</f>
        <v>0.99995536881343983</v>
      </c>
      <c r="G16" s="91">
        <f>EQUATION_SHEET!K298</f>
        <v>0.77620190019379065</v>
      </c>
      <c r="H16" s="93">
        <f>EQUATION_SHEET!K309</f>
        <v>473.71124152823484</v>
      </c>
    </row>
    <row r="17" spans="3:8" ht="13.5" thickTop="1" x14ac:dyDescent="0.2">
      <c r="C17" s="81" t="s">
        <v>2</v>
      </c>
      <c r="D17" s="82">
        <f>AVERAGE(D5:D16)</f>
        <v>252.37375017905171</v>
      </c>
      <c r="E17" s="83">
        <f>AVERAGE(E5:E16)</f>
        <v>8</v>
      </c>
      <c r="F17" s="94">
        <f>AVERAGE(F5:F16)</f>
        <v>0.9861943564251282</v>
      </c>
      <c r="G17" s="94">
        <f>AVERAGE(G5:G16)</f>
        <v>0.77460809400671815</v>
      </c>
      <c r="H17" s="83">
        <f>AVERAGE(H5:H16)</f>
        <v>526.03510347031499</v>
      </c>
    </row>
    <row r="18" spans="3:8" x14ac:dyDescent="0.2">
      <c r="C18" s="76" t="s">
        <v>14</v>
      </c>
      <c r="D18" s="74">
        <f>STDEV(D5:D16)</f>
        <v>0.31115541779851452</v>
      </c>
      <c r="E18" s="75">
        <f>STDEV(E5:E16)</f>
        <v>2.5584085962673253</v>
      </c>
      <c r="F18" s="95">
        <f>STDEV(F5:F16)</f>
        <v>1.3582538954048434E-2</v>
      </c>
      <c r="G18" s="95">
        <f>STDEV(G5:G16)</f>
        <v>1.6298930866580155E-3</v>
      </c>
      <c r="H18" s="75">
        <f>STDEV(H5:H16)</f>
        <v>17.433056310249274</v>
      </c>
    </row>
    <row r="19" spans="3:8" x14ac:dyDescent="0.2">
      <c r="C19" s="76" t="s">
        <v>3</v>
      </c>
      <c r="D19" s="74">
        <f>MAX(D5:D16)</f>
        <v>252.84246131301552</v>
      </c>
      <c r="E19" s="75">
        <f>MAX(E5:E16)</f>
        <v>11</v>
      </c>
      <c r="F19" s="95">
        <f>MAX(F5:F16)</f>
        <v>0.99995536881343983</v>
      </c>
      <c r="G19" s="95">
        <f>MAX(G5:G16)</f>
        <v>0.77743622319603256</v>
      </c>
      <c r="H19" s="75">
        <f>MAX(H5:H16)</f>
        <v>537.71693803316589</v>
      </c>
    </row>
    <row r="20" spans="3:8" x14ac:dyDescent="0.2">
      <c r="C20" s="76" t="s">
        <v>4</v>
      </c>
      <c r="D20" s="74">
        <f>MIN(D5:D16)</f>
        <v>251.59683258545016</v>
      </c>
      <c r="E20" s="75">
        <f>MIN(E5:E16)</f>
        <v>3</v>
      </c>
      <c r="F20" s="95">
        <f>MIN(F5:F16)</f>
        <v>0.95384186641588287</v>
      </c>
      <c r="G20" s="95">
        <f>MIN(G5:G16)</f>
        <v>0.77254387594676477</v>
      </c>
      <c r="H20" s="75">
        <f>MIN(H5:H16)</f>
        <v>473.71124152823484</v>
      </c>
    </row>
    <row r="21" spans="3:8" x14ac:dyDescent="0.2">
      <c r="C21" s="76" t="s">
        <v>5</v>
      </c>
      <c r="D21" s="74">
        <f>D19-D20</f>
        <v>1.2456287275653608</v>
      </c>
      <c r="E21" s="75">
        <f>E19-E20</f>
        <v>8</v>
      </c>
      <c r="F21" s="95">
        <f>F19-F20</f>
        <v>4.611350239755696E-2</v>
      </c>
      <c r="G21" s="95">
        <f>G19-G20</f>
        <v>4.8923472492677922E-3</v>
      </c>
      <c r="H21" s="75">
        <f>H19-H20</f>
        <v>64.005696504931052</v>
      </c>
    </row>
    <row r="22" spans="3:8" ht="15" x14ac:dyDescent="0.2">
      <c r="C22" s="3"/>
      <c r="D22" s="2"/>
      <c r="E22" s="1"/>
    </row>
    <row r="23" spans="3:8" ht="15" x14ac:dyDescent="0.2">
      <c r="C23" s="3"/>
      <c r="D23" s="2"/>
      <c r="E23" s="1"/>
    </row>
    <row r="24" spans="3:8" ht="15" x14ac:dyDescent="0.2">
      <c r="C24" s="2"/>
      <c r="D24" s="2"/>
      <c r="E24" s="1"/>
    </row>
  </sheetData>
  <mergeCells count="1">
    <mergeCell ref="C2:G3"/>
  </mergeCells>
  <conditionalFormatting sqref="E5:E16">
    <cfRule type="cellIs" dxfId="5" priority="5" operator="equal">
      <formula>11</formula>
    </cfRule>
    <cfRule type="cellIs" dxfId="4" priority="6" operator="greaterThan">
      <formula>11</formula>
    </cfRule>
  </conditionalFormatting>
  <conditionalFormatting sqref="F5:F16">
    <cfRule type="cellIs" dxfId="3" priority="3" operator="between">
      <formula>0.909</formula>
      <formula>0.9</formula>
    </cfRule>
    <cfRule type="cellIs" dxfId="2" priority="4" operator="lessThan">
      <formula>0.9</formula>
    </cfRule>
  </conditionalFormatting>
  <conditionalFormatting sqref="D5:D16">
    <cfRule type="cellIs" dxfId="1" priority="1" operator="greaterThan">
      <formula>250</formula>
    </cfRule>
    <cfRule type="cellIs" dxfId="0" priority="2" operator="greaterThan">
      <formula>255</formula>
    </cfRule>
  </conditionalFormatting>
  <pageMargins left="0.5" right="0.5" top="1" bottom="1" header="0.5" footer="0.5"/>
  <pageSetup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N312"/>
  <sheetViews>
    <sheetView zoomScale="85" zoomScaleNormal="85" workbookViewId="0">
      <selection activeCell="K247" sqref="K247"/>
    </sheetView>
  </sheetViews>
  <sheetFormatPr defaultRowHeight="12.75" x14ac:dyDescent="0.2"/>
  <cols>
    <col min="1" max="1" width="10.5703125" customWidth="1"/>
    <col min="2" max="2" width="9.5703125" bestFit="1" customWidth="1"/>
    <col min="11" max="11" width="10.7109375" customWidth="1"/>
    <col min="12" max="12" width="18.140625" bestFit="1" customWidth="1"/>
    <col min="13" max="14" width="9.7109375" bestFit="1" customWidth="1"/>
  </cols>
  <sheetData>
    <row r="1" spans="1:12" ht="15.75" customHeight="1" x14ac:dyDescent="0.2">
      <c r="A1" s="119" t="s">
        <v>48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</row>
    <row r="2" spans="1:12" x14ac:dyDescent="0.2">
      <c r="A2" s="122"/>
      <c r="B2" s="123"/>
      <c r="C2" s="123"/>
      <c r="D2" s="123"/>
      <c r="E2" s="123"/>
      <c r="F2" s="123"/>
      <c r="G2" s="123"/>
      <c r="H2" s="123"/>
      <c r="I2" s="123"/>
      <c r="J2" s="123"/>
      <c r="K2" s="124"/>
    </row>
    <row r="3" spans="1:12" ht="15" customHeight="1" x14ac:dyDescent="0.2">
      <c r="A3" s="62"/>
      <c r="B3" s="63" t="s">
        <v>54</v>
      </c>
      <c r="C3" s="125" t="s">
        <v>63</v>
      </c>
      <c r="D3" s="125"/>
      <c r="E3" s="125"/>
      <c r="F3" s="125"/>
      <c r="G3" s="125"/>
      <c r="H3" s="125"/>
      <c r="I3" s="60"/>
      <c r="J3" s="60"/>
      <c r="K3" s="61"/>
    </row>
    <row r="4" spans="1:12" ht="15" x14ac:dyDescent="0.25">
      <c r="A4" s="64">
        <f>MULTIPLE_SHOT_DATA!A1</f>
        <v>153.17558288574219</v>
      </c>
      <c r="B4" s="65">
        <f>MULTIPLE_SHOT_DATA!B1/MULTIPLE_SHOT_DATA!A1</f>
        <v>0.75975211473011695</v>
      </c>
      <c r="C4" s="50"/>
      <c r="D4" s="50"/>
      <c r="E4" s="50"/>
      <c r="F4" s="50"/>
      <c r="G4" s="50"/>
      <c r="H4" s="50"/>
      <c r="I4" s="50"/>
      <c r="J4" s="50"/>
      <c r="K4" s="51"/>
    </row>
    <row r="5" spans="1:12" ht="15" x14ac:dyDescent="0.25">
      <c r="A5" s="64">
        <f>MULTIPLE_SHOT_DATA!A2</f>
        <v>149.78034973144531</v>
      </c>
      <c r="B5" s="65">
        <f>MULTIPLE_SHOT_DATA!B2/MULTIPLE_SHOT_DATA!A2</f>
        <v>0.76617544510215718</v>
      </c>
      <c r="C5" s="50"/>
      <c r="D5" s="50"/>
      <c r="E5" s="50"/>
      <c r="F5" s="50"/>
      <c r="G5" s="50"/>
      <c r="H5" s="50"/>
      <c r="I5" s="50"/>
      <c r="J5" s="52" t="s">
        <v>40</v>
      </c>
      <c r="K5" s="51">
        <f>SUM(A4:A7)/4</f>
        <v>145.85947418212891</v>
      </c>
    </row>
    <row r="6" spans="1:12" ht="15" x14ac:dyDescent="0.25">
      <c r="A6" s="64">
        <f>MULTIPLE_SHOT_DATA!A3</f>
        <v>142.48231506347656</v>
      </c>
      <c r="B6" s="65">
        <f>MULTIPLE_SHOT_DATA!B3/MULTIPLE_SHOT_DATA!A3</f>
        <v>0.77720923552974008</v>
      </c>
      <c r="C6" s="50"/>
      <c r="D6" s="50"/>
      <c r="E6" s="50"/>
      <c r="F6" s="50"/>
      <c r="G6" s="50"/>
      <c r="H6" s="50"/>
      <c r="I6" s="50"/>
      <c r="J6" s="52" t="s">
        <v>41</v>
      </c>
      <c r="K6" s="51">
        <f>SUM(B4:B7)/4</f>
        <v>0.77082065693484181</v>
      </c>
    </row>
    <row r="7" spans="1:12" ht="15" x14ac:dyDescent="0.25">
      <c r="A7" s="64">
        <f>MULTIPLE_SHOT_DATA!A4</f>
        <v>137.99964904785156</v>
      </c>
      <c r="B7" s="65">
        <f>MULTIPLE_SHOT_DATA!B4/MULTIPLE_SHOT_DATA!A4</f>
        <v>0.78014583237735302</v>
      </c>
      <c r="C7" s="50"/>
      <c r="D7" s="50"/>
      <c r="E7" s="50"/>
      <c r="F7" s="50"/>
      <c r="G7" s="50"/>
      <c r="H7" s="50"/>
      <c r="I7" s="50"/>
      <c r="J7" s="52" t="s">
        <v>50</v>
      </c>
      <c r="K7" s="51">
        <f>(A4-K5)*(B4-K6)+(A5-K5)*(B5-K6)+(A6-K5)*(B6-K6)+(A7-K5)*(B7-K6)</f>
        <v>-0.19406145023805027</v>
      </c>
    </row>
    <row r="8" spans="1:12" ht="15" x14ac:dyDescent="0.25">
      <c r="A8" s="64"/>
      <c r="B8" s="65"/>
      <c r="C8" s="50"/>
      <c r="D8" s="50"/>
      <c r="E8" s="50"/>
      <c r="F8" s="50"/>
      <c r="G8" s="50"/>
      <c r="H8" s="50"/>
      <c r="I8" s="50"/>
      <c r="J8" s="52" t="s">
        <v>51</v>
      </c>
      <c r="K8" s="51">
        <f>(A4-K5)^2+(A5-K5)^2+(A6-K5)^2+(A7-K5)^2</f>
        <v>142.08076649042778</v>
      </c>
    </row>
    <row r="9" spans="1:12" ht="15" x14ac:dyDescent="0.25">
      <c r="A9" s="64"/>
      <c r="B9" s="65"/>
      <c r="C9" s="50"/>
      <c r="D9" s="50"/>
      <c r="E9" s="50"/>
      <c r="F9" s="50"/>
      <c r="G9" s="50"/>
      <c r="H9" s="50"/>
      <c r="I9" s="50"/>
      <c r="J9" s="52" t="s">
        <v>42</v>
      </c>
      <c r="K9" s="51">
        <f>K7/K8</f>
        <v>-1.3658530639410965E-3</v>
      </c>
    </row>
    <row r="10" spans="1:12" ht="15" x14ac:dyDescent="0.25">
      <c r="A10" s="64"/>
      <c r="B10" s="65"/>
      <c r="C10" s="50"/>
      <c r="D10" s="50"/>
      <c r="E10" s="50"/>
      <c r="F10" s="50"/>
      <c r="G10" s="50"/>
      <c r="H10" s="50"/>
      <c r="I10" s="50"/>
      <c r="J10" s="52" t="s">
        <v>43</v>
      </c>
      <c r="K10" s="51">
        <f>K6-(K9*K5)</f>
        <v>0.97004326665133989</v>
      </c>
    </row>
    <row r="11" spans="1:12" ht="15" x14ac:dyDescent="0.25">
      <c r="A11" s="64"/>
      <c r="B11" s="65"/>
      <c r="C11" s="50"/>
      <c r="D11" s="50"/>
      <c r="E11" s="50"/>
      <c r="F11" s="50"/>
      <c r="G11" s="50"/>
      <c r="H11" s="50"/>
      <c r="I11" s="50"/>
      <c r="J11" s="52" t="s">
        <v>44</v>
      </c>
      <c r="K11" s="59">
        <v>143.80000000000001</v>
      </c>
    </row>
    <row r="12" spans="1:12" ht="15" x14ac:dyDescent="0.25">
      <c r="A12" s="64"/>
      <c r="B12" s="65"/>
      <c r="C12" s="50"/>
      <c r="D12" s="50"/>
      <c r="E12" s="50"/>
      <c r="F12" s="50"/>
      <c r="G12" s="50"/>
      <c r="H12" s="50"/>
      <c r="I12" s="50"/>
      <c r="J12" s="52" t="s">
        <v>45</v>
      </c>
      <c r="K12" s="53">
        <f>K10+(K9*K11)</f>
        <v>0.7736335960566102</v>
      </c>
    </row>
    <row r="13" spans="1:12" ht="15" x14ac:dyDescent="0.25">
      <c r="A13" s="64"/>
      <c r="B13" s="65"/>
      <c r="C13" s="50"/>
      <c r="D13" s="50"/>
      <c r="E13" s="50"/>
      <c r="F13" s="50"/>
      <c r="G13" s="50"/>
      <c r="H13" s="50"/>
      <c r="I13" s="50"/>
      <c r="J13" s="52" t="s">
        <v>67</v>
      </c>
      <c r="K13" s="54">
        <f>(PEARSON((A4:A7),(B4:B7)))^2</f>
        <v>0.97497263229245357</v>
      </c>
      <c r="L13" s="70"/>
    </row>
    <row r="14" spans="1:12" ht="15" customHeight="1" x14ac:dyDescent="0.25">
      <c r="A14" s="62"/>
      <c r="B14" s="66"/>
      <c r="C14" s="125" t="s">
        <v>64</v>
      </c>
      <c r="D14" s="125"/>
      <c r="E14" s="125"/>
      <c r="F14" s="125"/>
      <c r="G14" s="125"/>
      <c r="H14" s="125"/>
      <c r="I14" s="50"/>
      <c r="J14" s="50"/>
      <c r="K14" s="51"/>
    </row>
    <row r="15" spans="1:12" ht="15" x14ac:dyDescent="0.25">
      <c r="A15" s="64">
        <f>MULTIPLE_SHOT_DATA!A1</f>
        <v>153.17558288574219</v>
      </c>
      <c r="B15" s="86">
        <f>MULTIPLE_SHOT_DATA!C1</f>
        <v>522</v>
      </c>
      <c r="C15" s="50"/>
      <c r="D15" s="50"/>
      <c r="E15" s="50"/>
      <c r="F15" s="50"/>
      <c r="G15" s="50"/>
      <c r="H15" s="50"/>
      <c r="I15" s="50"/>
      <c r="J15" s="50"/>
      <c r="K15" s="51"/>
    </row>
    <row r="16" spans="1:12" ht="15" x14ac:dyDescent="0.25">
      <c r="A16" s="64">
        <f>MULTIPLE_SHOT_DATA!A2</f>
        <v>149.78034973144531</v>
      </c>
      <c r="B16" s="86">
        <f>MULTIPLE_SHOT_DATA!C2</f>
        <v>526</v>
      </c>
      <c r="C16" s="50"/>
      <c r="D16" s="50"/>
      <c r="E16" s="50"/>
      <c r="F16" s="50"/>
      <c r="G16" s="50"/>
      <c r="H16" s="50"/>
      <c r="I16" s="50"/>
      <c r="J16" s="52" t="s">
        <v>40</v>
      </c>
      <c r="K16" s="51">
        <f>SUM(A15:A18)/4</f>
        <v>145.85947418212891</v>
      </c>
    </row>
    <row r="17" spans="1:11" ht="15" x14ac:dyDescent="0.25">
      <c r="A17" s="64">
        <f>MULTIPLE_SHOT_DATA!A3</f>
        <v>142.48231506347656</v>
      </c>
      <c r="B17" s="86">
        <f>MULTIPLE_SHOT_DATA!C3</f>
        <v>528</v>
      </c>
      <c r="C17" s="50"/>
      <c r="D17" s="50"/>
      <c r="E17" s="50"/>
      <c r="F17" s="50"/>
      <c r="G17" s="50"/>
      <c r="H17" s="50"/>
      <c r="I17" s="50"/>
      <c r="J17" s="52" t="s">
        <v>41</v>
      </c>
      <c r="K17" s="51">
        <f>SUM(B15:B18)/4</f>
        <v>526.5</v>
      </c>
    </row>
    <row r="18" spans="1:11" ht="15" x14ac:dyDescent="0.25">
      <c r="A18" s="64">
        <f>MULTIPLE_SHOT_DATA!A4</f>
        <v>137.99964904785156</v>
      </c>
      <c r="B18" s="86">
        <f>MULTIPLE_SHOT_DATA!C4</f>
        <v>530</v>
      </c>
      <c r="C18" s="50"/>
      <c r="D18" s="50"/>
      <c r="E18" s="50"/>
      <c r="F18" s="50"/>
      <c r="G18" s="50"/>
      <c r="H18" s="50"/>
      <c r="I18" s="50"/>
      <c r="J18" s="52" t="s">
        <v>50</v>
      </c>
      <c r="K18" s="51">
        <f>(A15-K16)*(B15-K17)+(A16-K16)*(B16-K17)+(A17-K16)*(B17-K17)+(A18-K16)*(B18-K17)</f>
        <v>-67.458053588867188</v>
      </c>
    </row>
    <row r="19" spans="1:11" ht="15" x14ac:dyDescent="0.25">
      <c r="A19" s="48"/>
      <c r="B19" s="86"/>
      <c r="C19" s="50"/>
      <c r="D19" s="50"/>
      <c r="E19" s="50"/>
      <c r="F19" s="50"/>
      <c r="G19" s="50"/>
      <c r="H19" s="50"/>
      <c r="I19" s="50"/>
      <c r="J19" s="52" t="s">
        <v>51</v>
      </c>
      <c r="K19" s="51">
        <f>(A15-K16)^2+(A16-K16)^2+(A17-K16)^2+(A18-K16)^2</f>
        <v>142.08076649042778</v>
      </c>
    </row>
    <row r="20" spans="1:11" ht="15" x14ac:dyDescent="0.25">
      <c r="A20" s="87" t="s">
        <v>5</v>
      </c>
      <c r="B20" s="86">
        <f>MAX(B15:B18)-MIN(B15:B18)</f>
        <v>8</v>
      </c>
      <c r="C20" s="50"/>
      <c r="D20" s="50"/>
      <c r="E20" s="50"/>
      <c r="F20" s="50"/>
      <c r="G20" s="50"/>
      <c r="H20" s="50"/>
      <c r="I20" s="50"/>
      <c r="J20" s="52" t="s">
        <v>42</v>
      </c>
      <c r="K20" s="51">
        <f>K18/K19</f>
        <v>-0.47478666715534612</v>
      </c>
    </row>
    <row r="21" spans="1:11" ht="15" x14ac:dyDescent="0.25">
      <c r="A21" s="48"/>
      <c r="B21" s="49"/>
      <c r="C21" s="50"/>
      <c r="D21" s="50"/>
      <c r="E21" s="50"/>
      <c r="F21" s="50"/>
      <c r="G21" s="50"/>
      <c r="H21" s="50"/>
      <c r="I21" s="50"/>
      <c r="J21" s="52" t="s">
        <v>43</v>
      </c>
      <c r="K21" s="51">
        <f>K17-(K20*K16)</f>
        <v>595.7521336199643</v>
      </c>
    </row>
    <row r="22" spans="1:11" ht="15" x14ac:dyDescent="0.25">
      <c r="A22" s="48"/>
      <c r="B22" s="49"/>
      <c r="C22" s="50"/>
      <c r="D22" s="50"/>
      <c r="E22" s="50"/>
      <c r="F22" s="50"/>
      <c r="G22" s="50"/>
      <c r="H22" s="50"/>
      <c r="I22" s="50"/>
      <c r="J22" s="52" t="s">
        <v>44</v>
      </c>
      <c r="K22" s="59">
        <v>143.80000000000001</v>
      </c>
    </row>
    <row r="23" spans="1:11" ht="15" x14ac:dyDescent="0.25">
      <c r="A23" s="48"/>
      <c r="B23" s="49"/>
      <c r="C23" s="50"/>
      <c r="D23" s="50"/>
      <c r="E23" s="50"/>
      <c r="F23" s="50"/>
      <c r="G23" s="50"/>
      <c r="H23" s="50"/>
      <c r="I23" s="50"/>
      <c r="J23" s="52" t="s">
        <v>65</v>
      </c>
      <c r="K23" s="53">
        <f>K21+(K20*K22)</f>
        <v>527.47781088302554</v>
      </c>
    </row>
    <row r="24" spans="1:11" ht="15" x14ac:dyDescent="0.25">
      <c r="A24" s="48"/>
      <c r="B24" s="49"/>
      <c r="C24" s="50"/>
      <c r="D24" s="50"/>
      <c r="E24" s="50"/>
      <c r="F24" s="50"/>
      <c r="G24" s="50"/>
      <c r="H24" s="50"/>
      <c r="I24" s="50"/>
      <c r="J24" s="52" t="s">
        <v>66</v>
      </c>
      <c r="K24" s="51">
        <f>136.8+(136.3*K12)+(0.019*K23)</f>
        <v>252.26833754929351</v>
      </c>
    </row>
    <row r="25" spans="1:11" ht="15" x14ac:dyDescent="0.25">
      <c r="A25" s="48"/>
      <c r="B25" s="49"/>
      <c r="C25" s="50"/>
      <c r="D25" s="50"/>
      <c r="E25" s="50"/>
      <c r="F25" s="50"/>
      <c r="G25" s="50"/>
      <c r="H25" s="50"/>
      <c r="I25" s="50"/>
      <c r="J25" s="50"/>
      <c r="K25" s="51"/>
    </row>
    <row r="26" spans="1:11" ht="15.75" thickBot="1" x14ac:dyDescent="0.3">
      <c r="A26" s="55"/>
      <c r="B26" s="56"/>
      <c r="C26" s="57"/>
      <c r="D26" s="57"/>
      <c r="E26" s="57"/>
      <c r="F26" s="57"/>
      <c r="G26" s="57"/>
      <c r="H26" s="57"/>
      <c r="I26" s="57"/>
      <c r="J26" s="57"/>
      <c r="K26" s="58"/>
    </row>
    <row r="27" spans="1:11" ht="15.75" customHeight="1" x14ac:dyDescent="0.2">
      <c r="A27" s="119" t="s">
        <v>49</v>
      </c>
      <c r="B27" s="120"/>
      <c r="C27" s="120"/>
      <c r="D27" s="120"/>
      <c r="E27" s="120"/>
      <c r="F27" s="120"/>
      <c r="G27" s="120"/>
      <c r="H27" s="120"/>
      <c r="I27" s="120"/>
      <c r="J27" s="120"/>
      <c r="K27" s="121"/>
    </row>
    <row r="28" spans="1:11" x14ac:dyDescent="0.2">
      <c r="A28" s="122"/>
      <c r="B28" s="123"/>
      <c r="C28" s="123"/>
      <c r="D28" s="123"/>
      <c r="E28" s="123"/>
      <c r="F28" s="123"/>
      <c r="G28" s="123"/>
      <c r="H28" s="123"/>
      <c r="I28" s="123"/>
      <c r="J28" s="123"/>
      <c r="K28" s="124"/>
    </row>
    <row r="29" spans="1:11" ht="15" customHeight="1" x14ac:dyDescent="0.2">
      <c r="A29" s="62"/>
      <c r="B29" s="63" t="s">
        <v>54</v>
      </c>
      <c r="C29" s="125" t="s">
        <v>63</v>
      </c>
      <c r="D29" s="125"/>
      <c r="E29" s="125"/>
      <c r="F29" s="125"/>
      <c r="G29" s="125"/>
      <c r="H29" s="125"/>
      <c r="I29" s="60"/>
      <c r="J29" s="60"/>
      <c r="K29" s="61"/>
    </row>
    <row r="30" spans="1:11" ht="15" x14ac:dyDescent="0.25">
      <c r="A30" s="48">
        <f>MULTIPLE_SHOT_DATA!D1</f>
        <v>153.24598693847656</v>
      </c>
      <c r="B30" s="49">
        <f>MULTIPLE_SHOT_DATA!E1/MULTIPLE_SHOT_DATA!D1</f>
        <v>0.75719803061376589</v>
      </c>
      <c r="C30" s="50"/>
      <c r="D30" s="50"/>
      <c r="E30" s="50"/>
      <c r="F30" s="50"/>
      <c r="G30" s="50"/>
      <c r="H30" s="50"/>
      <c r="I30" s="50"/>
      <c r="J30" s="50"/>
      <c r="K30" s="51"/>
    </row>
    <row r="31" spans="1:11" ht="15" x14ac:dyDescent="0.25">
      <c r="A31" s="48">
        <f>MULTIPLE_SHOT_DATA!D2</f>
        <v>149.5787353515625</v>
      </c>
      <c r="B31" s="49">
        <f>MULTIPLE_SHOT_DATA!E2/MULTIPLE_SHOT_DATA!D2</f>
        <v>0.76300139796906841</v>
      </c>
      <c r="C31" s="50"/>
      <c r="D31" s="50"/>
      <c r="E31" s="50"/>
      <c r="F31" s="50"/>
      <c r="G31" s="50"/>
      <c r="H31" s="50"/>
      <c r="I31" s="50"/>
      <c r="J31" s="52" t="s">
        <v>40</v>
      </c>
      <c r="K31" s="59">
        <f>SUM(A30:A33)/4</f>
        <v>146.43487930297852</v>
      </c>
    </row>
    <row r="32" spans="1:11" ht="15" x14ac:dyDescent="0.25">
      <c r="A32" s="48">
        <f>MULTIPLE_SHOT_DATA!D3</f>
        <v>142.80784606933594</v>
      </c>
      <c r="B32" s="49">
        <f>MULTIPLE_SHOT_DATA!E3/MULTIPLE_SHOT_DATA!D3</f>
        <v>0.77603972837001167</v>
      </c>
      <c r="C32" s="50"/>
      <c r="D32" s="50"/>
      <c r="E32" s="50"/>
      <c r="F32" s="50"/>
      <c r="G32" s="50"/>
      <c r="H32" s="50"/>
      <c r="I32" s="50"/>
      <c r="J32" s="52" t="s">
        <v>41</v>
      </c>
      <c r="K32" s="59">
        <f>SUM(B30:B33)/4</f>
        <v>0.76899863132019131</v>
      </c>
    </row>
    <row r="33" spans="1:11" ht="15" x14ac:dyDescent="0.25">
      <c r="A33" s="48">
        <f>MULTIPLE_SHOT_DATA!D4</f>
        <v>140.10694885253906</v>
      </c>
      <c r="B33" s="49">
        <f>MULTIPLE_SHOT_DATA!E4/MULTIPLE_SHOT_DATA!D4</f>
        <v>0.77975536832791892</v>
      </c>
      <c r="C33" s="50"/>
      <c r="D33" s="50"/>
      <c r="E33" s="50"/>
      <c r="F33" s="50"/>
      <c r="G33" s="50"/>
      <c r="H33" s="50"/>
      <c r="I33" s="50"/>
      <c r="J33" s="52" t="s">
        <v>50</v>
      </c>
      <c r="K33" s="59">
        <f>(A30-K31)*(B30-K32)+(A31-K31)*(B31-K32)+(A32-K31)*(B32-K32)+(A33-K31)*(B33-K32)</f>
        <v>-0.19283577658026479</v>
      </c>
    </row>
    <row r="34" spans="1:11" ht="15" x14ac:dyDescent="0.25">
      <c r="A34" s="48"/>
      <c r="B34" s="49"/>
      <c r="C34" s="50"/>
      <c r="D34" s="50"/>
      <c r="E34" s="50"/>
      <c r="F34" s="50"/>
      <c r="G34" s="50"/>
      <c r="H34" s="50"/>
      <c r="I34" s="50"/>
      <c r="J34" s="52" t="s">
        <v>51</v>
      </c>
      <c r="K34" s="59">
        <f>(A30-K31)^2+(A31-K31)^2+(A32-K31)^2+(A33-K31)^2</f>
        <v>109.4730919401045</v>
      </c>
    </row>
    <row r="35" spans="1:11" ht="15" x14ac:dyDescent="0.25">
      <c r="A35" s="48"/>
      <c r="B35" s="49"/>
      <c r="C35" s="50"/>
      <c r="D35" s="50"/>
      <c r="E35" s="50"/>
      <c r="F35" s="50"/>
      <c r="G35" s="50"/>
      <c r="H35" s="50"/>
      <c r="I35" s="50"/>
      <c r="J35" s="52" t="s">
        <v>42</v>
      </c>
      <c r="K35" s="59">
        <f>K33/K34</f>
        <v>-1.7614901814024778E-3</v>
      </c>
    </row>
    <row r="36" spans="1:11" ht="15" x14ac:dyDescent="0.25">
      <c r="A36" s="48"/>
      <c r="B36" s="49"/>
      <c r="C36" s="50"/>
      <c r="D36" s="50"/>
      <c r="E36" s="50"/>
      <c r="F36" s="50"/>
      <c r="G36" s="50"/>
      <c r="H36" s="50"/>
      <c r="I36" s="50"/>
      <c r="J36" s="52" t="s">
        <v>43</v>
      </c>
      <c r="K36" s="59">
        <f>K32-(K35*K31)</f>
        <v>1.0269422334272449</v>
      </c>
    </row>
    <row r="37" spans="1:11" ht="15" x14ac:dyDescent="0.25">
      <c r="A37" s="48"/>
      <c r="B37" s="49"/>
      <c r="C37" s="50"/>
      <c r="D37" s="50"/>
      <c r="E37" s="50"/>
      <c r="F37" s="50"/>
      <c r="G37" s="50"/>
      <c r="H37" s="50"/>
      <c r="I37" s="50"/>
      <c r="J37" s="52" t="s">
        <v>44</v>
      </c>
      <c r="K37" s="59">
        <v>143.80000000000001</v>
      </c>
    </row>
    <row r="38" spans="1:11" ht="15" x14ac:dyDescent="0.25">
      <c r="A38" s="48"/>
      <c r="B38" s="49"/>
      <c r="C38" s="50"/>
      <c r="D38" s="50"/>
      <c r="E38" s="50"/>
      <c r="F38" s="50"/>
      <c r="G38" s="50"/>
      <c r="H38" s="50"/>
      <c r="I38" s="50"/>
      <c r="J38" s="52" t="s">
        <v>45</v>
      </c>
      <c r="K38" s="88">
        <f>K36+(K35*K37)</f>
        <v>0.77363994534156855</v>
      </c>
    </row>
    <row r="39" spans="1:11" ht="15" x14ac:dyDescent="0.25">
      <c r="A39" s="48"/>
      <c r="B39" s="49"/>
      <c r="C39" s="50"/>
      <c r="D39" s="50"/>
      <c r="E39" s="50"/>
      <c r="F39" s="50"/>
      <c r="G39" s="50"/>
      <c r="H39" s="50"/>
      <c r="I39" s="50"/>
      <c r="J39" s="52" t="s">
        <v>67</v>
      </c>
      <c r="K39" s="54">
        <f>(PEARSON((A30:A33),(B30:B33)))^2</f>
        <v>0.99757097393437544</v>
      </c>
    </row>
    <row r="40" spans="1:11" ht="15.75" x14ac:dyDescent="0.25">
      <c r="A40" s="62"/>
      <c r="B40" s="66"/>
      <c r="C40" s="125" t="s">
        <v>64</v>
      </c>
      <c r="D40" s="125"/>
      <c r="E40" s="125"/>
      <c r="F40" s="125"/>
      <c r="G40" s="125"/>
      <c r="H40" s="125"/>
      <c r="I40" s="50"/>
      <c r="J40" s="50"/>
      <c r="K40" s="59"/>
    </row>
    <row r="41" spans="1:11" ht="15" x14ac:dyDescent="0.25">
      <c r="A41" s="48">
        <f>MULTIPLE_SHOT_DATA!D1</f>
        <v>153.24598693847656</v>
      </c>
      <c r="B41" s="86">
        <f>MULTIPLE_SHOT_DATA!F1</f>
        <v>532</v>
      </c>
      <c r="C41" s="50"/>
      <c r="D41" s="50"/>
      <c r="E41" s="50"/>
      <c r="F41" s="50"/>
      <c r="G41" s="50"/>
      <c r="H41" s="50"/>
      <c r="I41" s="50"/>
      <c r="J41" s="50"/>
      <c r="K41" s="59"/>
    </row>
    <row r="42" spans="1:11" ht="15" x14ac:dyDescent="0.25">
      <c r="A42" s="48">
        <f>MULTIPLE_SHOT_DATA!D2</f>
        <v>149.5787353515625</v>
      </c>
      <c r="B42" s="86">
        <f>MULTIPLE_SHOT_DATA!F2</f>
        <v>532</v>
      </c>
      <c r="C42" s="50"/>
      <c r="D42" s="50"/>
      <c r="E42" s="50"/>
      <c r="F42" s="50"/>
      <c r="G42" s="50"/>
      <c r="H42" s="50"/>
      <c r="I42" s="50"/>
      <c r="J42" s="52" t="s">
        <v>40</v>
      </c>
      <c r="K42" s="59">
        <f>SUM(A41:A44)/4</f>
        <v>146.43487930297852</v>
      </c>
    </row>
    <row r="43" spans="1:11" ht="15" x14ac:dyDescent="0.25">
      <c r="A43" s="48">
        <f>MULTIPLE_SHOT_DATA!D3</f>
        <v>142.80784606933594</v>
      </c>
      <c r="B43" s="86">
        <f>MULTIPLE_SHOT_DATA!F3</f>
        <v>537</v>
      </c>
      <c r="C43" s="50"/>
      <c r="D43" s="50"/>
      <c r="E43" s="50"/>
      <c r="F43" s="50"/>
      <c r="G43" s="50"/>
      <c r="H43" s="50"/>
      <c r="I43" s="50"/>
      <c r="J43" s="52" t="s">
        <v>41</v>
      </c>
      <c r="K43" s="59">
        <f>SUM(B41:B44)/4</f>
        <v>535.25</v>
      </c>
    </row>
    <row r="44" spans="1:11" ht="15" x14ac:dyDescent="0.25">
      <c r="A44" s="48">
        <f>MULTIPLE_SHOT_DATA!D4</f>
        <v>140.10694885253906</v>
      </c>
      <c r="B44" s="86">
        <f>MULTIPLE_SHOT_DATA!F4</f>
        <v>540</v>
      </c>
      <c r="C44" s="50"/>
      <c r="D44" s="50"/>
      <c r="E44" s="50"/>
      <c r="F44" s="50"/>
      <c r="G44" s="50"/>
      <c r="H44" s="50"/>
      <c r="I44" s="50"/>
      <c r="J44" s="52" t="s">
        <v>50</v>
      </c>
      <c r="K44" s="59">
        <f>(A41-K42)*(B41-K43)+(A42-K42)*(B42-K43)+(A43-K42)*(B43-K43)+(A44-K42)*(B44-K43)</f>
        <v>-68.758609771728516</v>
      </c>
    </row>
    <row r="45" spans="1:11" ht="15" x14ac:dyDescent="0.25">
      <c r="A45" s="48"/>
      <c r="B45" s="86"/>
      <c r="C45" s="50"/>
      <c r="D45" s="50"/>
      <c r="E45" s="50"/>
      <c r="F45" s="50"/>
      <c r="G45" s="50"/>
      <c r="H45" s="50"/>
      <c r="I45" s="50"/>
      <c r="J45" s="52" t="s">
        <v>51</v>
      </c>
      <c r="K45" s="59">
        <f>(A41-K42)^2+(A42-K42)^2+(A43-K42)^2+(A44-K42)^2</f>
        <v>109.4730919401045</v>
      </c>
    </row>
    <row r="46" spans="1:11" ht="15" x14ac:dyDescent="0.25">
      <c r="A46" s="87" t="s">
        <v>5</v>
      </c>
      <c r="B46" s="86">
        <f>MAX(B41:B44)-MIN(B41:B44)</f>
        <v>8</v>
      </c>
      <c r="C46" s="50"/>
      <c r="D46" s="50"/>
      <c r="E46" s="50"/>
      <c r="F46" s="50"/>
      <c r="G46" s="50"/>
      <c r="H46" s="50"/>
      <c r="I46" s="50"/>
      <c r="J46" s="52" t="s">
        <v>42</v>
      </c>
      <c r="K46" s="59">
        <f>K44/K45</f>
        <v>-0.62808685269753861</v>
      </c>
    </row>
    <row r="47" spans="1:11" ht="15" x14ac:dyDescent="0.25">
      <c r="A47" s="48"/>
      <c r="B47" s="49"/>
      <c r="C47" s="50"/>
      <c r="D47" s="50"/>
      <c r="E47" s="50"/>
      <c r="F47" s="50"/>
      <c r="G47" s="50"/>
      <c r="H47" s="50"/>
      <c r="I47" s="50"/>
      <c r="J47" s="52" t="s">
        <v>43</v>
      </c>
      <c r="K47" s="59">
        <f>K43-(K46*K42)</f>
        <v>627.22382246655172</v>
      </c>
    </row>
    <row r="48" spans="1:11" ht="15" x14ac:dyDescent="0.25">
      <c r="A48" s="48"/>
      <c r="B48" s="49"/>
      <c r="C48" s="50"/>
      <c r="D48" s="50"/>
      <c r="E48" s="50"/>
      <c r="F48" s="50"/>
      <c r="G48" s="50"/>
      <c r="H48" s="50"/>
      <c r="I48" s="50"/>
      <c r="J48" s="52" t="s">
        <v>44</v>
      </c>
      <c r="K48" s="59">
        <v>143.80000000000001</v>
      </c>
    </row>
    <row r="49" spans="1:11" ht="15" x14ac:dyDescent="0.25">
      <c r="A49" s="48"/>
      <c r="B49" s="49"/>
      <c r="C49" s="50"/>
      <c r="D49" s="50"/>
      <c r="E49" s="50"/>
      <c r="F49" s="50"/>
      <c r="G49" s="50"/>
      <c r="H49" s="50"/>
      <c r="I49" s="50"/>
      <c r="J49" s="52" t="s">
        <v>65</v>
      </c>
      <c r="K49" s="88">
        <f>K47+(K46*K48)</f>
        <v>536.90493304864572</v>
      </c>
    </row>
    <row r="50" spans="1:11" ht="15" x14ac:dyDescent="0.25">
      <c r="A50" s="48"/>
      <c r="B50" s="49"/>
      <c r="C50" s="50"/>
      <c r="D50" s="50"/>
      <c r="E50" s="50"/>
      <c r="F50" s="50"/>
      <c r="G50" s="50"/>
      <c r="H50" s="50"/>
      <c r="I50" s="50"/>
      <c r="J50" s="52" t="s">
        <v>66</v>
      </c>
      <c r="K50" s="59">
        <f>136.8+(136.3*K38)+(0.019*K49)</f>
        <v>252.44831827798009</v>
      </c>
    </row>
    <row r="51" spans="1:11" ht="15" x14ac:dyDescent="0.25">
      <c r="A51" s="48"/>
      <c r="B51" s="49"/>
      <c r="C51" s="50"/>
      <c r="D51" s="50"/>
      <c r="E51" s="50"/>
      <c r="F51" s="50"/>
      <c r="G51" s="50"/>
      <c r="H51" s="50"/>
      <c r="I51" s="50"/>
      <c r="J51" s="50"/>
      <c r="K51" s="51"/>
    </row>
    <row r="52" spans="1:11" ht="15.75" thickBot="1" x14ac:dyDescent="0.3">
      <c r="A52" s="55"/>
      <c r="B52" s="56"/>
      <c r="C52" s="57"/>
      <c r="D52" s="57"/>
      <c r="E52" s="57"/>
      <c r="F52" s="57"/>
      <c r="G52" s="57"/>
      <c r="H52" s="57"/>
      <c r="I52" s="57"/>
      <c r="J52" s="57"/>
      <c r="K52" s="58"/>
    </row>
    <row r="53" spans="1:11" x14ac:dyDescent="0.2">
      <c r="A53" s="119" t="s">
        <v>52</v>
      </c>
      <c r="B53" s="120"/>
      <c r="C53" s="120"/>
      <c r="D53" s="120"/>
      <c r="E53" s="120"/>
      <c r="F53" s="120"/>
      <c r="G53" s="120"/>
      <c r="H53" s="120"/>
      <c r="I53" s="120"/>
      <c r="J53" s="120"/>
      <c r="K53" s="121"/>
    </row>
    <row r="54" spans="1:11" x14ac:dyDescent="0.2">
      <c r="A54" s="122"/>
      <c r="B54" s="123"/>
      <c r="C54" s="123"/>
      <c r="D54" s="123"/>
      <c r="E54" s="123"/>
      <c r="F54" s="123"/>
      <c r="G54" s="123"/>
      <c r="H54" s="123"/>
      <c r="I54" s="123"/>
      <c r="J54" s="123"/>
      <c r="K54" s="124"/>
    </row>
    <row r="55" spans="1:11" ht="15" customHeight="1" x14ac:dyDescent="0.2">
      <c r="A55" s="62"/>
      <c r="B55" s="63" t="s">
        <v>54</v>
      </c>
      <c r="C55" s="125" t="s">
        <v>63</v>
      </c>
      <c r="D55" s="125"/>
      <c r="E55" s="125"/>
      <c r="F55" s="125"/>
      <c r="G55" s="125"/>
      <c r="H55" s="125"/>
      <c r="I55" s="60"/>
      <c r="J55" s="60"/>
      <c r="K55" s="61"/>
    </row>
    <row r="56" spans="1:11" ht="15" x14ac:dyDescent="0.25">
      <c r="A56" s="48">
        <f>MULTIPLE_SHOT_DATA!G1</f>
        <v>152.70779418945313</v>
      </c>
      <c r="B56" s="49">
        <f>MULTIPLE_SHOT_DATA!H1/MULTIPLE_SHOT_DATA!G1</f>
        <v>0.76092721339571368</v>
      </c>
      <c r="C56" s="50"/>
      <c r="D56" s="50"/>
      <c r="E56" s="50"/>
      <c r="F56" s="50"/>
      <c r="G56" s="50"/>
      <c r="H56" s="50"/>
      <c r="I56" s="50"/>
      <c r="J56" s="50"/>
      <c r="K56" s="51"/>
    </row>
    <row r="57" spans="1:11" ht="15" x14ac:dyDescent="0.25">
      <c r="A57" s="48">
        <f>MULTIPLE_SHOT_DATA!G2</f>
        <v>148.62287902832031</v>
      </c>
      <c r="B57" s="49">
        <f>MULTIPLE_SHOT_DATA!H2/MULTIPLE_SHOT_DATA!G2</f>
        <v>0.77001973994442996</v>
      </c>
      <c r="C57" s="50"/>
      <c r="D57" s="50"/>
      <c r="E57" s="50"/>
      <c r="F57" s="50"/>
      <c r="G57" s="50"/>
      <c r="H57" s="50"/>
      <c r="I57" s="50"/>
      <c r="J57" s="52" t="s">
        <v>40</v>
      </c>
      <c r="K57" s="51">
        <f>SUM(A56:A59)/4</f>
        <v>146.09689331054688</v>
      </c>
    </row>
    <row r="58" spans="1:11" ht="15" x14ac:dyDescent="0.25">
      <c r="A58" s="48">
        <f>MULTIPLE_SHOT_DATA!G3</f>
        <v>142.93031311035156</v>
      </c>
      <c r="B58" s="49">
        <f>MULTIPLE_SHOT_DATA!H3/MULTIPLE_SHOT_DATA!G3</f>
        <v>0.77580507737682636</v>
      </c>
      <c r="C58" s="50"/>
      <c r="D58" s="50"/>
      <c r="E58" s="50"/>
      <c r="F58" s="50"/>
      <c r="G58" s="50"/>
      <c r="H58" s="50"/>
      <c r="I58" s="50"/>
      <c r="J58" s="52" t="s">
        <v>41</v>
      </c>
      <c r="K58" s="51">
        <f>SUM(B56:B59)/4</f>
        <v>0.77226249716759399</v>
      </c>
    </row>
    <row r="59" spans="1:11" ht="15" x14ac:dyDescent="0.25">
      <c r="A59" s="48">
        <f>MULTIPLE_SHOT_DATA!G4</f>
        <v>140.1265869140625</v>
      </c>
      <c r="B59" s="49">
        <f>MULTIPLE_SHOT_DATA!H4/MULTIPLE_SHOT_DATA!G4</f>
        <v>0.78229795795340606</v>
      </c>
      <c r="C59" s="50"/>
      <c r="D59" s="50"/>
      <c r="E59" s="50"/>
      <c r="F59" s="50"/>
      <c r="G59" s="50"/>
      <c r="H59" s="50"/>
      <c r="I59" s="50"/>
      <c r="J59" s="52" t="s">
        <v>50</v>
      </c>
      <c r="K59" s="51">
        <f>(A56-K57)*(B56-K58)+(A57-K57)*(B57-K58)+(A58-K57)*(B58-K58)+(A59-K57)*(B59-K58)</f>
        <v>-0.15173425023368181</v>
      </c>
    </row>
    <row r="60" spans="1:11" ht="15" x14ac:dyDescent="0.25">
      <c r="A60" s="48"/>
      <c r="B60" s="49"/>
      <c r="C60" s="50"/>
      <c r="D60" s="50"/>
      <c r="E60" s="50"/>
      <c r="F60" s="50"/>
      <c r="G60" s="50"/>
      <c r="H60" s="50"/>
      <c r="I60" s="50"/>
      <c r="J60" s="52" t="s">
        <v>51</v>
      </c>
      <c r="K60" s="51">
        <f>(A56-K57)^2+(A57-K57)^2+(A58-K57)^2+(A59-K57)^2</f>
        <v>95.756402909290045</v>
      </c>
    </row>
    <row r="61" spans="1:11" ht="15" x14ac:dyDescent="0.25">
      <c r="A61" s="48"/>
      <c r="B61" s="49"/>
      <c r="C61" s="50"/>
      <c r="D61" s="50"/>
      <c r="E61" s="50"/>
      <c r="F61" s="50"/>
      <c r="G61" s="50"/>
      <c r="H61" s="50"/>
      <c r="I61" s="50"/>
      <c r="J61" s="52" t="s">
        <v>42</v>
      </c>
      <c r="K61" s="51">
        <f>K59/K60</f>
        <v>-1.5845859454163031E-3</v>
      </c>
    </row>
    <row r="62" spans="1:11" ht="15" x14ac:dyDescent="0.25">
      <c r="A62" s="48"/>
      <c r="B62" s="49"/>
      <c r="C62" s="50"/>
      <c r="D62" s="50"/>
      <c r="E62" s="50"/>
      <c r="F62" s="50"/>
      <c r="G62" s="50"/>
      <c r="H62" s="50"/>
      <c r="I62" s="50"/>
      <c r="J62" s="52" t="s">
        <v>43</v>
      </c>
      <c r="K62" s="51">
        <f>K58-(K61*K57)</f>
        <v>1.0037655809764716</v>
      </c>
    </row>
    <row r="63" spans="1:11" ht="15" x14ac:dyDescent="0.25">
      <c r="A63" s="48"/>
      <c r="B63" s="49"/>
      <c r="C63" s="50"/>
      <c r="D63" s="50"/>
      <c r="E63" s="50"/>
      <c r="F63" s="50"/>
      <c r="G63" s="50"/>
      <c r="H63" s="50"/>
      <c r="I63" s="50"/>
      <c r="J63" s="52" t="s">
        <v>44</v>
      </c>
      <c r="K63" s="59">
        <v>143.80000000000001</v>
      </c>
    </row>
    <row r="64" spans="1:11" ht="15" x14ac:dyDescent="0.25">
      <c r="A64" s="48"/>
      <c r="B64" s="49"/>
      <c r="C64" s="50"/>
      <c r="D64" s="50"/>
      <c r="E64" s="50"/>
      <c r="F64" s="50"/>
      <c r="G64" s="50"/>
      <c r="H64" s="50"/>
      <c r="I64" s="50"/>
      <c r="J64" s="52" t="s">
        <v>45</v>
      </c>
      <c r="K64" s="53">
        <f>K62+(K61*K63)</f>
        <v>0.77590212202560727</v>
      </c>
    </row>
    <row r="65" spans="1:11" ht="15" x14ac:dyDescent="0.25">
      <c r="A65" s="48"/>
      <c r="B65" s="49"/>
      <c r="C65" s="50"/>
      <c r="D65" s="50"/>
      <c r="E65" s="50"/>
      <c r="F65" s="50"/>
      <c r="G65" s="50"/>
      <c r="H65" s="50"/>
      <c r="I65" s="50"/>
      <c r="J65" s="52" t="s">
        <v>67</v>
      </c>
      <c r="K65" s="54">
        <f>(PEARSON((A56:A59),(B56:B59)))^2</f>
        <v>0.97429681459074369</v>
      </c>
    </row>
    <row r="66" spans="1:11" ht="15.75" x14ac:dyDescent="0.25">
      <c r="A66" s="62"/>
      <c r="B66" s="66"/>
      <c r="C66" s="125" t="s">
        <v>64</v>
      </c>
      <c r="D66" s="125"/>
      <c r="E66" s="125"/>
      <c r="F66" s="125"/>
      <c r="G66" s="125"/>
      <c r="H66" s="125"/>
      <c r="I66" s="50"/>
      <c r="J66" s="50"/>
      <c r="K66" s="51"/>
    </row>
    <row r="67" spans="1:11" ht="15" x14ac:dyDescent="0.25">
      <c r="A67" s="64">
        <f>MULTIPLE_SHOT_DATA!G1</f>
        <v>152.70779418945313</v>
      </c>
      <c r="B67" s="86">
        <f>MULTIPLE_SHOT_DATA!I1</f>
        <v>523</v>
      </c>
      <c r="C67" s="50"/>
      <c r="D67" s="50"/>
      <c r="E67" s="50"/>
      <c r="F67" s="50"/>
      <c r="G67" s="50"/>
      <c r="H67" s="50"/>
      <c r="I67" s="50"/>
      <c r="J67" s="50"/>
      <c r="K67" s="51"/>
    </row>
    <row r="68" spans="1:11" ht="15" x14ac:dyDescent="0.25">
      <c r="A68" s="64">
        <f>MULTIPLE_SHOT_DATA!G2</f>
        <v>148.62287902832031</v>
      </c>
      <c r="B68" s="86">
        <f>MULTIPLE_SHOT_DATA!I2</f>
        <v>529</v>
      </c>
      <c r="C68" s="50"/>
      <c r="D68" s="50"/>
      <c r="E68" s="50"/>
      <c r="F68" s="50"/>
      <c r="G68" s="50"/>
      <c r="H68" s="50"/>
      <c r="I68" s="50"/>
      <c r="J68" s="52" t="s">
        <v>40</v>
      </c>
      <c r="K68" s="51">
        <f>SUM(A67:A70)/4</f>
        <v>146.09689331054688</v>
      </c>
    </row>
    <row r="69" spans="1:11" ht="15" x14ac:dyDescent="0.25">
      <c r="A69" s="64">
        <f>MULTIPLE_SHOT_DATA!G3</f>
        <v>142.93031311035156</v>
      </c>
      <c r="B69" s="86">
        <f>MULTIPLE_SHOT_DATA!I3</f>
        <v>530</v>
      </c>
      <c r="C69" s="50"/>
      <c r="D69" s="50"/>
      <c r="E69" s="50"/>
      <c r="F69" s="50"/>
      <c r="G69" s="50"/>
      <c r="H69" s="50"/>
      <c r="I69" s="50"/>
      <c r="J69" s="52" t="s">
        <v>41</v>
      </c>
      <c r="K69" s="51">
        <f>SUM(B67:B70)/4</f>
        <v>528.75</v>
      </c>
    </row>
    <row r="70" spans="1:11" ht="15" x14ac:dyDescent="0.25">
      <c r="A70" s="64">
        <f>MULTIPLE_SHOT_DATA!G4</f>
        <v>140.1265869140625</v>
      </c>
      <c r="B70" s="86">
        <f>MULTIPLE_SHOT_DATA!I4</f>
        <v>533</v>
      </c>
      <c r="C70" s="50"/>
      <c r="D70" s="50"/>
      <c r="E70" s="50"/>
      <c r="F70" s="50"/>
      <c r="G70" s="50"/>
      <c r="H70" s="50"/>
      <c r="I70" s="50"/>
      <c r="J70" s="52" t="s">
        <v>50</v>
      </c>
      <c r="K70" s="51">
        <f>(A67-K68)*(B67-K69)+(A68-K68)*(B68-K69)+(A69-K68)*(B69-K69)+(A70-K68)*(B70-K69)</f>
        <v>-66.713211059570313</v>
      </c>
    </row>
    <row r="71" spans="1:11" ht="15" x14ac:dyDescent="0.25">
      <c r="A71" s="48"/>
      <c r="B71" s="86"/>
      <c r="C71" s="50"/>
      <c r="D71" s="50"/>
      <c r="E71" s="50"/>
      <c r="F71" s="50"/>
      <c r="G71" s="50"/>
      <c r="H71" s="50"/>
      <c r="I71" s="50"/>
      <c r="J71" s="52" t="s">
        <v>51</v>
      </c>
      <c r="K71" s="51">
        <f>(A67-K68)^2+(A68-K68)^2+(A69-K68)^2+(A70-K68)^2</f>
        <v>95.756402909290045</v>
      </c>
    </row>
    <row r="72" spans="1:11" ht="15" x14ac:dyDescent="0.25">
      <c r="A72" s="87" t="s">
        <v>5</v>
      </c>
      <c r="B72" s="86">
        <f>MAX(B67:B70)-MIN(B67:B70)</f>
        <v>10</v>
      </c>
      <c r="C72" s="50"/>
      <c r="D72" s="50"/>
      <c r="E72" s="50"/>
      <c r="F72" s="50"/>
      <c r="G72" s="50"/>
      <c r="H72" s="50"/>
      <c r="I72" s="50"/>
      <c r="J72" s="52" t="s">
        <v>42</v>
      </c>
      <c r="K72" s="51">
        <f>K70/K71</f>
        <v>-0.69669712972371856</v>
      </c>
    </row>
    <row r="73" spans="1:11" ht="15" x14ac:dyDescent="0.25">
      <c r="A73" s="48"/>
      <c r="B73" s="49"/>
      <c r="C73" s="50"/>
      <c r="D73" s="50"/>
      <c r="E73" s="50"/>
      <c r="F73" s="50"/>
      <c r="G73" s="50"/>
      <c r="H73" s="50"/>
      <c r="I73" s="50"/>
      <c r="J73" s="52" t="s">
        <v>43</v>
      </c>
      <c r="K73" s="51">
        <f>K69-(K72*K68)</f>
        <v>630.53528623101033</v>
      </c>
    </row>
    <row r="74" spans="1:11" ht="15" x14ac:dyDescent="0.25">
      <c r="A74" s="48"/>
      <c r="B74" s="49"/>
      <c r="C74" s="50"/>
      <c r="D74" s="50"/>
      <c r="E74" s="50"/>
      <c r="F74" s="50"/>
      <c r="G74" s="50"/>
      <c r="H74" s="50"/>
      <c r="I74" s="50"/>
      <c r="J74" s="52" t="s">
        <v>44</v>
      </c>
      <c r="K74" s="59">
        <v>143.80000000000001</v>
      </c>
    </row>
    <row r="75" spans="1:11" ht="15" x14ac:dyDescent="0.25">
      <c r="A75" s="48"/>
      <c r="B75" s="49"/>
      <c r="C75" s="50"/>
      <c r="D75" s="50"/>
      <c r="E75" s="50"/>
      <c r="F75" s="50"/>
      <c r="G75" s="50"/>
      <c r="H75" s="50"/>
      <c r="I75" s="50"/>
      <c r="J75" s="52" t="s">
        <v>65</v>
      </c>
      <c r="K75" s="53">
        <f>K73+(K72*K74)</f>
        <v>530.35023897673955</v>
      </c>
    </row>
    <row r="76" spans="1:11" ht="15" x14ac:dyDescent="0.25">
      <c r="A76" s="48"/>
      <c r="B76" s="49"/>
      <c r="C76" s="50"/>
      <c r="D76" s="50"/>
      <c r="E76" s="50"/>
      <c r="F76" s="50"/>
      <c r="G76" s="50"/>
      <c r="H76" s="50"/>
      <c r="I76" s="50"/>
      <c r="J76" s="52" t="s">
        <v>66</v>
      </c>
      <c r="K76" s="51">
        <f>136.8+(136.3*K64)+(0.019*K75)</f>
        <v>252.63211377264835</v>
      </c>
    </row>
    <row r="77" spans="1:11" ht="15" x14ac:dyDescent="0.25">
      <c r="A77" s="48"/>
      <c r="B77" s="49"/>
      <c r="C77" s="50"/>
      <c r="D77" s="50"/>
      <c r="E77" s="50"/>
      <c r="F77" s="50"/>
      <c r="G77" s="50"/>
      <c r="H77" s="50"/>
      <c r="I77" s="50"/>
      <c r="J77" s="50"/>
      <c r="K77" s="51"/>
    </row>
    <row r="78" spans="1:11" ht="15.75" thickBot="1" x14ac:dyDescent="0.3">
      <c r="A78" s="55"/>
      <c r="B78" s="56"/>
      <c r="C78" s="57"/>
      <c r="D78" s="57"/>
      <c r="E78" s="57"/>
      <c r="F78" s="57"/>
      <c r="G78" s="57"/>
      <c r="H78" s="57"/>
      <c r="I78" s="57"/>
      <c r="J78" s="57"/>
      <c r="K78" s="58"/>
    </row>
    <row r="79" spans="1:11" x14ac:dyDescent="0.2">
      <c r="A79" s="119" t="s">
        <v>53</v>
      </c>
      <c r="B79" s="120"/>
      <c r="C79" s="120"/>
      <c r="D79" s="120"/>
      <c r="E79" s="120"/>
      <c r="F79" s="120"/>
      <c r="G79" s="120"/>
      <c r="H79" s="120"/>
      <c r="I79" s="120"/>
      <c r="J79" s="120"/>
      <c r="K79" s="121"/>
    </row>
    <row r="80" spans="1:11" x14ac:dyDescent="0.2">
      <c r="A80" s="122"/>
      <c r="B80" s="123"/>
      <c r="C80" s="123"/>
      <c r="D80" s="123"/>
      <c r="E80" s="123"/>
      <c r="F80" s="123"/>
      <c r="G80" s="123"/>
      <c r="H80" s="123"/>
      <c r="I80" s="123"/>
      <c r="J80" s="123"/>
      <c r="K80" s="124"/>
    </row>
    <row r="81" spans="1:11" ht="15" customHeight="1" x14ac:dyDescent="0.2">
      <c r="A81" s="62"/>
      <c r="B81" s="63" t="s">
        <v>54</v>
      </c>
      <c r="C81" s="125" t="s">
        <v>63</v>
      </c>
      <c r="D81" s="125"/>
      <c r="E81" s="125"/>
      <c r="F81" s="125"/>
      <c r="G81" s="125"/>
      <c r="H81" s="125"/>
      <c r="I81" s="60"/>
      <c r="J81" s="60"/>
      <c r="K81" s="61"/>
    </row>
    <row r="82" spans="1:11" ht="15" x14ac:dyDescent="0.25">
      <c r="A82" s="48">
        <f>MULTIPLE_SHOT_DATA!J1</f>
        <v>152.68449401855469</v>
      </c>
      <c r="B82" s="49">
        <f>MULTIPLE_SHOT_DATA!K1/MULTIPLE_SHOT_DATA!J1</f>
        <v>0.75962972841893794</v>
      </c>
      <c r="C82" s="50"/>
      <c r="D82" s="50"/>
      <c r="E82" s="50"/>
      <c r="F82" s="50"/>
      <c r="G82" s="50"/>
      <c r="H82" s="50"/>
      <c r="I82" s="50"/>
      <c r="J82" s="50"/>
      <c r="K82" s="51"/>
    </row>
    <row r="83" spans="1:11" ht="15" x14ac:dyDescent="0.25">
      <c r="A83" s="48">
        <f>MULTIPLE_SHOT_DATA!J2</f>
        <v>148.97711181640625</v>
      </c>
      <c r="B83" s="49">
        <f>MULTIPLE_SHOT_DATA!K2/MULTIPLE_SHOT_DATA!J2</f>
        <v>0.76433640085527899</v>
      </c>
      <c r="C83" s="50"/>
      <c r="D83" s="50"/>
      <c r="E83" s="50"/>
      <c r="F83" s="50"/>
      <c r="G83" s="50"/>
      <c r="H83" s="50"/>
      <c r="I83" s="50"/>
      <c r="J83" s="52" t="s">
        <v>40</v>
      </c>
      <c r="K83" s="51">
        <f>SUM(A82:A85)/4</f>
        <v>146.35128784179688</v>
      </c>
    </row>
    <row r="84" spans="1:11" ht="15" x14ac:dyDescent="0.25">
      <c r="A84" s="48">
        <f>MULTIPLE_SHOT_DATA!J3</f>
        <v>142.78746032714844</v>
      </c>
      <c r="B84" s="49">
        <f>MULTIPLE_SHOT_DATA!K3/MULTIPLE_SHOT_DATA!J3</f>
        <v>0.77494707844935284</v>
      </c>
      <c r="C84" s="50"/>
      <c r="D84" s="50"/>
      <c r="E84" s="50"/>
      <c r="F84" s="50"/>
      <c r="G84" s="50"/>
      <c r="H84" s="50"/>
      <c r="I84" s="50"/>
      <c r="J84" s="52" t="s">
        <v>41</v>
      </c>
      <c r="K84" s="51">
        <f>SUM(B82:B85)/4</f>
        <v>0.7687686353559513</v>
      </c>
    </row>
    <row r="85" spans="1:11" ht="15" x14ac:dyDescent="0.25">
      <c r="A85" s="48">
        <f>MULTIPLE_SHOT_DATA!J4</f>
        <v>140.95608520507813</v>
      </c>
      <c r="B85" s="49">
        <f>MULTIPLE_SHOT_DATA!K4/MULTIPLE_SHOT_DATA!J4</f>
        <v>0.77616133370023566</v>
      </c>
      <c r="C85" s="50"/>
      <c r="D85" s="50"/>
      <c r="E85" s="50"/>
      <c r="F85" s="50"/>
      <c r="G85" s="50"/>
      <c r="H85" s="50"/>
      <c r="I85" s="50"/>
      <c r="J85" s="52" t="s">
        <v>50</v>
      </c>
      <c r="K85" s="51">
        <f>(A82-K83)*(B82-K84)+(A83-K83)*(B83-K84)+(A84-K83)*(B84-K84)+(A85-K83)*(B85-K84)</f>
        <v>-0.13142086056876731</v>
      </c>
    </row>
    <row r="86" spans="1:11" ht="15" x14ac:dyDescent="0.25">
      <c r="A86" s="48"/>
      <c r="B86" s="49"/>
      <c r="C86" s="50"/>
      <c r="D86" s="50"/>
      <c r="E86" s="50"/>
      <c r="F86" s="50"/>
      <c r="G86" s="50"/>
      <c r="H86" s="50"/>
      <c r="I86" s="50"/>
      <c r="J86" s="52" t="s">
        <v>51</v>
      </c>
      <c r="K86" s="51">
        <f>(A82-K83)^2+(A83-K83)^2+(A84-K83)^2+(A85-K83)^2</f>
        <v>88.813530068378896</v>
      </c>
    </row>
    <row r="87" spans="1:11" ht="15" x14ac:dyDescent="0.25">
      <c r="A87" s="48"/>
      <c r="B87" s="49"/>
      <c r="C87" s="50"/>
      <c r="D87" s="50"/>
      <c r="E87" s="50"/>
      <c r="F87" s="50"/>
      <c r="G87" s="50"/>
      <c r="H87" s="50"/>
      <c r="I87" s="50"/>
      <c r="J87" s="52" t="s">
        <v>42</v>
      </c>
      <c r="K87" s="51">
        <f>K85/K86</f>
        <v>-1.479739184644326E-3</v>
      </c>
    </row>
    <row r="88" spans="1:11" ht="15" x14ac:dyDescent="0.25">
      <c r="A88" s="48"/>
      <c r="B88" s="49"/>
      <c r="C88" s="50"/>
      <c r="D88" s="50"/>
      <c r="E88" s="50"/>
      <c r="F88" s="50"/>
      <c r="G88" s="50"/>
      <c r="H88" s="50"/>
      <c r="I88" s="50"/>
      <c r="J88" s="52" t="s">
        <v>43</v>
      </c>
      <c r="K88" s="51">
        <f>K84-(K87*K83)</f>
        <v>0.98533037069861884</v>
      </c>
    </row>
    <row r="89" spans="1:11" ht="15" x14ac:dyDescent="0.25">
      <c r="A89" s="48"/>
      <c r="B89" s="49"/>
      <c r="C89" s="50"/>
      <c r="D89" s="50"/>
      <c r="E89" s="50"/>
      <c r="F89" s="50"/>
      <c r="G89" s="50"/>
      <c r="H89" s="50"/>
      <c r="I89" s="50"/>
      <c r="J89" s="52" t="s">
        <v>44</v>
      </c>
      <c r="K89" s="59">
        <v>143.80000000000001</v>
      </c>
    </row>
    <row r="90" spans="1:11" ht="15" x14ac:dyDescent="0.25">
      <c r="A90" s="48"/>
      <c r="B90" s="49"/>
      <c r="C90" s="50"/>
      <c r="D90" s="50"/>
      <c r="E90" s="50"/>
      <c r="F90" s="50"/>
      <c r="G90" s="50"/>
      <c r="H90" s="50"/>
      <c r="I90" s="50"/>
      <c r="J90" s="52" t="s">
        <v>45</v>
      </c>
      <c r="K90" s="53">
        <f>K88+(K87*K89)</f>
        <v>0.77254387594676477</v>
      </c>
    </row>
    <row r="91" spans="1:11" ht="15" x14ac:dyDescent="0.25">
      <c r="A91" s="48"/>
      <c r="B91" s="49"/>
      <c r="C91" s="50"/>
      <c r="D91" s="50"/>
      <c r="E91" s="50"/>
      <c r="F91" s="50"/>
      <c r="G91" s="50"/>
      <c r="H91" s="50"/>
      <c r="I91" s="50"/>
      <c r="J91" s="52" t="s">
        <v>67</v>
      </c>
      <c r="K91" s="54">
        <f>(PEARSON((A82:A85),(B82:B85)))^2</f>
        <v>0.99224002456432769</v>
      </c>
    </row>
    <row r="92" spans="1:11" ht="15.75" x14ac:dyDescent="0.25">
      <c r="A92" s="62"/>
      <c r="B92" s="66"/>
      <c r="C92" s="125" t="s">
        <v>64</v>
      </c>
      <c r="D92" s="125"/>
      <c r="E92" s="125"/>
      <c r="F92" s="125"/>
      <c r="G92" s="125"/>
      <c r="H92" s="125"/>
      <c r="I92" s="50"/>
      <c r="J92" s="50"/>
      <c r="K92" s="51"/>
    </row>
    <row r="93" spans="1:11" ht="15" x14ac:dyDescent="0.25">
      <c r="A93" s="48">
        <f>MULTIPLE_SHOT_DATA!J1</f>
        <v>152.68449401855469</v>
      </c>
      <c r="B93" s="49">
        <f>MULTIPLE_SHOT_DATA!L1</f>
        <v>527</v>
      </c>
      <c r="C93" s="50"/>
      <c r="D93" s="50"/>
      <c r="E93" s="50"/>
      <c r="F93" s="50"/>
      <c r="G93" s="50"/>
      <c r="H93" s="50"/>
      <c r="I93" s="50"/>
      <c r="J93" s="50"/>
      <c r="K93" s="51"/>
    </row>
    <row r="94" spans="1:11" ht="15" x14ac:dyDescent="0.25">
      <c r="A94" s="48">
        <f>MULTIPLE_SHOT_DATA!J2</f>
        <v>148.97711181640625</v>
      </c>
      <c r="B94" s="49">
        <f>MULTIPLE_SHOT_DATA!L2</f>
        <v>527</v>
      </c>
      <c r="C94" s="50"/>
      <c r="D94" s="50"/>
      <c r="E94" s="50"/>
      <c r="F94" s="50"/>
      <c r="G94" s="50"/>
      <c r="H94" s="50"/>
      <c r="I94" s="50"/>
      <c r="J94" s="52" t="s">
        <v>40</v>
      </c>
      <c r="K94" s="51">
        <f>SUM(A93:A96)/4</f>
        <v>146.35128784179688</v>
      </c>
    </row>
    <row r="95" spans="1:11" ht="15" x14ac:dyDescent="0.25">
      <c r="A95" s="48">
        <f>MULTIPLE_SHOT_DATA!J3</f>
        <v>142.78746032714844</v>
      </c>
      <c r="B95" s="49">
        <f>MULTIPLE_SHOT_DATA!L3</f>
        <v>532</v>
      </c>
      <c r="C95" s="50"/>
      <c r="D95" s="50"/>
      <c r="E95" s="50"/>
      <c r="F95" s="50"/>
      <c r="G95" s="50"/>
      <c r="H95" s="50"/>
      <c r="I95" s="50"/>
      <c r="J95" s="52" t="s">
        <v>41</v>
      </c>
      <c r="K95" s="51">
        <f>SUM(B93:B96)/4</f>
        <v>529.5</v>
      </c>
    </row>
    <row r="96" spans="1:11" ht="15" x14ac:dyDescent="0.25">
      <c r="A96" s="48">
        <f>MULTIPLE_SHOT_DATA!J4</f>
        <v>140.95608520507813</v>
      </c>
      <c r="B96" s="49">
        <f>MULTIPLE_SHOT_DATA!L4</f>
        <v>532</v>
      </c>
      <c r="C96" s="50"/>
      <c r="D96" s="50"/>
      <c r="E96" s="50"/>
      <c r="F96" s="50"/>
      <c r="G96" s="50"/>
      <c r="H96" s="50"/>
      <c r="I96" s="50"/>
      <c r="J96" s="52" t="s">
        <v>50</v>
      </c>
      <c r="K96" s="51">
        <f>(A93-K94)*(B93-K95)+(A94-K94)*(B94-K95)+(A95-K94)*(B95-K95)+(A96-K94)*(B96-K95)</f>
        <v>-44.795150756835938</v>
      </c>
    </row>
    <row r="97" spans="1:11" ht="15" x14ac:dyDescent="0.25">
      <c r="A97" s="48"/>
      <c r="B97" s="49"/>
      <c r="C97" s="50"/>
      <c r="D97" s="50"/>
      <c r="E97" s="50"/>
      <c r="F97" s="50"/>
      <c r="G97" s="50"/>
      <c r="H97" s="50"/>
      <c r="I97" s="50"/>
      <c r="J97" s="52" t="s">
        <v>51</v>
      </c>
      <c r="K97" s="51">
        <f>(A93-K94)^2+(A94-K94)^2+(A95-K94)^2+(A96-K94)^2</f>
        <v>88.813530068378896</v>
      </c>
    </row>
    <row r="98" spans="1:11" ht="15" x14ac:dyDescent="0.25">
      <c r="A98" s="48" t="s">
        <v>5</v>
      </c>
      <c r="B98" s="49">
        <f>MAX(B93:B96)-MIN(B93:B96)</f>
        <v>5</v>
      </c>
      <c r="C98" s="50"/>
      <c r="D98" s="50"/>
      <c r="E98" s="50"/>
      <c r="F98" s="50"/>
      <c r="G98" s="50"/>
      <c r="H98" s="50"/>
      <c r="I98" s="50"/>
      <c r="J98" s="52" t="s">
        <v>42</v>
      </c>
      <c r="K98" s="51">
        <f>K96/K97</f>
        <v>-0.50437304679081518</v>
      </c>
    </row>
    <row r="99" spans="1:11" ht="15" x14ac:dyDescent="0.25">
      <c r="A99" s="48"/>
      <c r="B99" s="49"/>
      <c r="C99" s="50"/>
      <c r="D99" s="50"/>
      <c r="E99" s="50"/>
      <c r="F99" s="50"/>
      <c r="G99" s="50"/>
      <c r="H99" s="50"/>
      <c r="I99" s="50"/>
      <c r="J99" s="52" t="s">
        <v>43</v>
      </c>
      <c r="K99" s="51">
        <f>K95-(K98*K94)</f>
        <v>603.31564495052669</v>
      </c>
    </row>
    <row r="100" spans="1:11" ht="15" x14ac:dyDescent="0.25">
      <c r="A100" s="48"/>
      <c r="B100" s="49"/>
      <c r="C100" s="50"/>
      <c r="D100" s="50"/>
      <c r="E100" s="50"/>
      <c r="F100" s="50"/>
      <c r="G100" s="50"/>
      <c r="H100" s="50"/>
      <c r="I100" s="50"/>
      <c r="J100" s="52" t="s">
        <v>44</v>
      </c>
      <c r="K100" s="59">
        <v>143.80000000000001</v>
      </c>
    </row>
    <row r="101" spans="1:11" ht="15" x14ac:dyDescent="0.25">
      <c r="A101" s="48"/>
      <c r="B101" s="49"/>
      <c r="C101" s="50"/>
      <c r="D101" s="50"/>
      <c r="E101" s="50"/>
      <c r="F101" s="50"/>
      <c r="G101" s="50"/>
      <c r="H101" s="50"/>
      <c r="I101" s="50"/>
      <c r="J101" s="52" t="s">
        <v>65</v>
      </c>
      <c r="K101" s="53">
        <f>K99+(K98*K100)</f>
        <v>530.78680082200742</v>
      </c>
    </row>
    <row r="102" spans="1:11" ht="15" x14ac:dyDescent="0.25">
      <c r="A102" s="48"/>
      <c r="B102" s="49"/>
      <c r="C102" s="50"/>
      <c r="D102" s="50"/>
      <c r="E102" s="50"/>
      <c r="F102" s="50"/>
      <c r="G102" s="50"/>
      <c r="H102" s="50"/>
      <c r="I102" s="50"/>
      <c r="J102" s="52" t="s">
        <v>66</v>
      </c>
      <c r="K102" s="51">
        <f>136.8+(136.3*K90)+(0.019*K101)</f>
        <v>252.18267950716219</v>
      </c>
    </row>
    <row r="103" spans="1:11" ht="15" x14ac:dyDescent="0.25">
      <c r="A103" s="48"/>
      <c r="B103" s="49"/>
      <c r="C103" s="50"/>
      <c r="D103" s="50"/>
      <c r="E103" s="50"/>
      <c r="F103" s="50"/>
      <c r="G103" s="50"/>
      <c r="H103" s="50"/>
      <c r="I103" s="50"/>
      <c r="J103" s="50"/>
      <c r="K103" s="51"/>
    </row>
    <row r="104" spans="1:11" ht="27.75" customHeight="1" thickBot="1" x14ac:dyDescent="0.3">
      <c r="A104" s="55"/>
      <c r="B104" s="56"/>
      <c r="C104" s="57"/>
      <c r="D104" s="57"/>
      <c r="E104" s="57"/>
      <c r="F104" s="57"/>
      <c r="G104" s="57"/>
      <c r="H104" s="57"/>
      <c r="I104" s="57"/>
      <c r="J104" s="57"/>
      <c r="K104" s="58"/>
    </row>
    <row r="105" spans="1:11" x14ac:dyDescent="0.2">
      <c r="A105" s="119" t="s">
        <v>55</v>
      </c>
      <c r="B105" s="120"/>
      <c r="C105" s="120"/>
      <c r="D105" s="120"/>
      <c r="E105" s="120"/>
      <c r="F105" s="120"/>
      <c r="G105" s="120"/>
      <c r="H105" s="120"/>
      <c r="I105" s="120"/>
      <c r="J105" s="120"/>
      <c r="K105" s="121"/>
    </row>
    <row r="106" spans="1:11" x14ac:dyDescent="0.2">
      <c r="A106" s="122"/>
      <c r="B106" s="123"/>
      <c r="C106" s="123"/>
      <c r="D106" s="123"/>
      <c r="E106" s="123"/>
      <c r="F106" s="123"/>
      <c r="G106" s="123"/>
      <c r="H106" s="123"/>
      <c r="I106" s="123"/>
      <c r="J106" s="123"/>
      <c r="K106" s="124"/>
    </row>
    <row r="107" spans="1:11" ht="21" x14ac:dyDescent="0.2">
      <c r="A107" s="62"/>
      <c r="B107" s="63" t="s">
        <v>54</v>
      </c>
      <c r="C107" s="125" t="s">
        <v>63</v>
      </c>
      <c r="D107" s="125"/>
      <c r="E107" s="125"/>
      <c r="F107" s="125"/>
      <c r="G107" s="125"/>
      <c r="H107" s="125"/>
      <c r="I107" s="60"/>
      <c r="J107" s="60"/>
      <c r="K107" s="61"/>
    </row>
    <row r="108" spans="1:11" ht="15" x14ac:dyDescent="0.25">
      <c r="A108" s="48">
        <f>MULTIPLE_SHOT_DATA!M1</f>
        <v>151.48187255859375</v>
      </c>
      <c r="B108" s="49">
        <f>MULTIPLE_SHOT_DATA!N1/MULTIPLE_SHOT_DATA!M1</f>
        <v>0.76495001367915194</v>
      </c>
      <c r="C108" s="50"/>
      <c r="D108" s="50"/>
      <c r="E108" s="50"/>
      <c r="F108" s="50"/>
      <c r="G108" s="50"/>
      <c r="H108" s="50"/>
      <c r="I108" s="50"/>
      <c r="J108" s="50"/>
      <c r="K108" s="51"/>
    </row>
    <row r="109" spans="1:11" ht="15" x14ac:dyDescent="0.25">
      <c r="A109" s="48">
        <f>MULTIPLE_SHOT_DATA!M2</f>
        <v>148.71127319335938</v>
      </c>
      <c r="B109" s="49">
        <f>MULTIPLE_SHOT_DATA!N2/MULTIPLE_SHOT_DATA!M2</f>
        <v>0.76832983409915634</v>
      </c>
      <c r="C109" s="50"/>
      <c r="D109" s="50"/>
      <c r="E109" s="50"/>
      <c r="F109" s="50"/>
      <c r="G109" s="50"/>
      <c r="H109" s="50"/>
      <c r="I109" s="50"/>
      <c r="J109" s="52" t="s">
        <v>40</v>
      </c>
      <c r="K109" s="51">
        <f>SUM(A108:A111)/4</f>
        <v>145.37941360473633</v>
      </c>
    </row>
    <row r="110" spans="1:11" ht="15" x14ac:dyDescent="0.25">
      <c r="A110" s="48">
        <f>MULTIPLE_SHOT_DATA!M3</f>
        <v>142.03712463378906</v>
      </c>
      <c r="B110" s="49">
        <f>MULTIPLE_SHOT_DATA!N3/MULTIPLE_SHOT_DATA!M3</f>
        <v>0.77774877813879617</v>
      </c>
      <c r="C110" s="50"/>
      <c r="D110" s="50"/>
      <c r="E110" s="50"/>
      <c r="F110" s="50"/>
      <c r="G110" s="50"/>
      <c r="H110" s="50"/>
      <c r="I110" s="50"/>
      <c r="J110" s="52" t="s">
        <v>41</v>
      </c>
      <c r="K110" s="51">
        <f>SUM(B108:B111)/4</f>
        <v>0.77401469262660105</v>
      </c>
    </row>
    <row r="111" spans="1:11" ht="15" x14ac:dyDescent="0.25">
      <c r="A111" s="48">
        <f>MULTIPLE_SHOT_DATA!M4</f>
        <v>139.28738403320313</v>
      </c>
      <c r="B111" s="49">
        <f>MULTIPLE_SHOT_DATA!N4/MULTIPLE_SHOT_DATA!M4</f>
        <v>0.78503014458929987</v>
      </c>
      <c r="C111" s="50"/>
      <c r="D111" s="50"/>
      <c r="E111" s="50"/>
      <c r="F111" s="50"/>
      <c r="G111" s="50"/>
      <c r="H111" s="50"/>
      <c r="I111" s="50"/>
      <c r="J111" s="52" t="s">
        <v>50</v>
      </c>
      <c r="K111" s="51">
        <f>(A108-K109)*(B108-K110)+(A109-K109)*(B109-K110)+(A110-K109)*(B110-K110)+(A111-K109)*(B111-K110)</f>
        <v>-0.15384483352588424</v>
      </c>
    </row>
    <row r="112" spans="1:11" ht="15" x14ac:dyDescent="0.25">
      <c r="A112" s="48"/>
      <c r="B112" s="49"/>
      <c r="C112" s="50"/>
      <c r="D112" s="50"/>
      <c r="E112" s="50"/>
      <c r="F112" s="50"/>
      <c r="G112" s="50"/>
      <c r="H112" s="50"/>
      <c r="I112" s="50"/>
      <c r="J112" s="52" t="s">
        <v>51</v>
      </c>
      <c r="K112" s="51">
        <f>(A108-K109)^2+(A109-K109)^2+(A110-K109)^2+(A111-K109)^2</f>
        <v>96.625013467564713</v>
      </c>
    </row>
    <row r="113" spans="1:11" ht="15" x14ac:dyDescent="0.25">
      <c r="A113" s="48"/>
      <c r="B113" s="49"/>
      <c r="C113" s="50"/>
      <c r="D113" s="50"/>
      <c r="E113" s="50"/>
      <c r="F113" s="50"/>
      <c r="G113" s="50"/>
      <c r="H113" s="50"/>
      <c r="I113" s="50"/>
      <c r="J113" s="52" t="s">
        <v>42</v>
      </c>
      <c r="K113" s="51">
        <f>K111/K112</f>
        <v>-1.5921843423859102E-3</v>
      </c>
    </row>
    <row r="114" spans="1:11" ht="15" x14ac:dyDescent="0.25">
      <c r="A114" s="48"/>
      <c r="B114" s="49"/>
      <c r="C114" s="50"/>
      <c r="D114" s="50"/>
      <c r="E114" s="50"/>
      <c r="F114" s="50"/>
      <c r="G114" s="50"/>
      <c r="H114" s="50"/>
      <c r="I114" s="50"/>
      <c r="J114" s="52" t="s">
        <v>43</v>
      </c>
      <c r="K114" s="51">
        <f>K110-(K113*K109)</f>
        <v>1.0054855186733074</v>
      </c>
    </row>
    <row r="115" spans="1:11" ht="15" x14ac:dyDescent="0.25">
      <c r="A115" s="48"/>
      <c r="B115" s="49"/>
      <c r="C115" s="50"/>
      <c r="D115" s="50"/>
      <c r="E115" s="50"/>
      <c r="F115" s="50"/>
      <c r="G115" s="50"/>
      <c r="H115" s="50"/>
      <c r="I115" s="50"/>
      <c r="J115" s="52" t="s">
        <v>44</v>
      </c>
      <c r="K115" s="59">
        <v>143.80000000000001</v>
      </c>
    </row>
    <row r="116" spans="1:11" ht="15" x14ac:dyDescent="0.25">
      <c r="A116" s="48"/>
      <c r="B116" s="49"/>
      <c r="C116" s="50"/>
      <c r="D116" s="50"/>
      <c r="E116" s="50"/>
      <c r="F116" s="50"/>
      <c r="G116" s="50"/>
      <c r="H116" s="50"/>
      <c r="I116" s="50"/>
      <c r="J116" s="52" t="s">
        <v>45</v>
      </c>
      <c r="K116" s="53">
        <f>K114+(K113*K115)</f>
        <v>0.77652941023821342</v>
      </c>
    </row>
    <row r="117" spans="1:11" ht="15" x14ac:dyDescent="0.25">
      <c r="A117" s="48"/>
      <c r="B117" s="49"/>
      <c r="C117" s="50"/>
      <c r="D117" s="50"/>
      <c r="E117" s="50"/>
      <c r="F117" s="50"/>
      <c r="G117" s="50"/>
      <c r="H117" s="50"/>
      <c r="I117" s="50"/>
      <c r="J117" s="52" t="s">
        <v>67</v>
      </c>
      <c r="K117" s="54">
        <f>(PEARSON((A108:A111),(B108:B111)))^2</f>
        <v>0.98070116457492618</v>
      </c>
    </row>
    <row r="118" spans="1:11" ht="15" customHeight="1" x14ac:dyDescent="0.25">
      <c r="A118" s="62"/>
      <c r="B118" s="66"/>
      <c r="C118" s="125" t="s">
        <v>64</v>
      </c>
      <c r="D118" s="125"/>
      <c r="E118" s="125"/>
      <c r="F118" s="125"/>
      <c r="G118" s="125"/>
      <c r="H118" s="125"/>
      <c r="I118" s="50"/>
      <c r="J118" s="50"/>
      <c r="K118" s="51"/>
    </row>
    <row r="119" spans="1:11" ht="15" x14ac:dyDescent="0.25">
      <c r="A119" s="48">
        <f>MULTIPLE_SHOT_DATA!M1</f>
        <v>151.48187255859375</v>
      </c>
      <c r="B119" s="49">
        <f>MULTIPLE_SHOT_DATA!O1</f>
        <v>525</v>
      </c>
      <c r="C119" s="50"/>
      <c r="D119" s="50"/>
      <c r="E119" s="50"/>
      <c r="F119" s="50"/>
      <c r="G119" s="50"/>
      <c r="H119" s="50"/>
      <c r="I119" s="50"/>
      <c r="J119" s="50"/>
      <c r="K119" s="51"/>
    </row>
    <row r="120" spans="1:11" ht="15" x14ac:dyDescent="0.25">
      <c r="A120" s="48">
        <f>MULTIPLE_SHOT_DATA!M2</f>
        <v>148.71127319335938</v>
      </c>
      <c r="B120" s="49">
        <f>MULTIPLE_SHOT_DATA!O2</f>
        <v>523</v>
      </c>
      <c r="C120" s="50"/>
      <c r="D120" s="50"/>
      <c r="E120" s="50"/>
      <c r="F120" s="50"/>
      <c r="G120" s="50"/>
      <c r="H120" s="50"/>
      <c r="I120" s="50"/>
      <c r="J120" s="52" t="s">
        <v>40</v>
      </c>
      <c r="K120" s="51">
        <f>SUM(A119:A122)/4</f>
        <v>145.37941360473633</v>
      </c>
    </row>
    <row r="121" spans="1:11" ht="15" x14ac:dyDescent="0.25">
      <c r="A121" s="48">
        <f>MULTIPLE_SHOT_DATA!M3</f>
        <v>142.03712463378906</v>
      </c>
      <c r="B121" s="49">
        <f>MULTIPLE_SHOT_DATA!O3</f>
        <v>527</v>
      </c>
      <c r="C121" s="50"/>
      <c r="D121" s="50"/>
      <c r="E121" s="50"/>
      <c r="F121" s="50"/>
      <c r="G121" s="50"/>
      <c r="H121" s="50"/>
      <c r="I121" s="50"/>
      <c r="J121" s="52" t="s">
        <v>41</v>
      </c>
      <c r="K121" s="51">
        <f>SUM(B119:B122)/4</f>
        <v>527</v>
      </c>
    </row>
    <row r="122" spans="1:11" ht="15" x14ac:dyDescent="0.25">
      <c r="A122" s="48">
        <f>MULTIPLE_SHOT_DATA!M4</f>
        <v>139.28738403320313</v>
      </c>
      <c r="B122" s="49">
        <f>MULTIPLE_SHOT_DATA!O4</f>
        <v>533</v>
      </c>
      <c r="C122" s="50"/>
      <c r="D122" s="50"/>
      <c r="E122" s="50"/>
      <c r="F122" s="50"/>
      <c r="G122" s="50"/>
      <c r="H122" s="50"/>
      <c r="I122" s="50"/>
      <c r="J122" s="52" t="s">
        <v>50</v>
      </c>
      <c r="K122" s="51">
        <f>(A119-K120)*(B119-K121)+(A120-K120)*(B120-K121)+(A121-K120)*(B121-K121)+(A122-K120)*(B122-K121)</f>
        <v>-62.08453369140625</v>
      </c>
    </row>
    <row r="123" spans="1:11" ht="15" x14ac:dyDescent="0.25">
      <c r="A123" s="48"/>
      <c r="B123" s="49"/>
      <c r="C123" s="50"/>
      <c r="D123" s="50"/>
      <c r="E123" s="50"/>
      <c r="F123" s="50"/>
      <c r="G123" s="50"/>
      <c r="H123" s="50"/>
      <c r="I123" s="50"/>
      <c r="J123" s="52" t="s">
        <v>51</v>
      </c>
      <c r="K123" s="51">
        <f>(A119-K120)^2+(A120-K120)^2+(A121-K120)^2+(A122-K120)^2</f>
        <v>96.625013467564713</v>
      </c>
    </row>
    <row r="124" spans="1:11" ht="15" x14ac:dyDescent="0.25">
      <c r="A124" s="48" t="s">
        <v>5</v>
      </c>
      <c r="B124" s="49">
        <f>MAX(B119:B122)-MIN(B119:B122)</f>
        <v>10</v>
      </c>
      <c r="C124" s="50"/>
      <c r="D124" s="50"/>
      <c r="E124" s="50"/>
      <c r="F124" s="50"/>
      <c r="G124" s="50"/>
      <c r="H124" s="50"/>
      <c r="I124" s="50"/>
      <c r="J124" s="52" t="s">
        <v>42</v>
      </c>
      <c r="K124" s="51">
        <f>K122/K123</f>
        <v>-0.64253066016127303</v>
      </c>
    </row>
    <row r="125" spans="1:11" ht="15" x14ac:dyDescent="0.25">
      <c r="A125" s="48"/>
      <c r="B125" s="49"/>
      <c r="C125" s="50"/>
      <c r="D125" s="50"/>
      <c r="E125" s="50"/>
      <c r="F125" s="50"/>
      <c r="G125" s="50"/>
      <c r="H125" s="50"/>
      <c r="I125" s="50"/>
      <c r="J125" s="52" t="s">
        <v>43</v>
      </c>
      <c r="K125" s="51">
        <f>K121-(K124*K120)</f>
        <v>620.41073059731002</v>
      </c>
    </row>
    <row r="126" spans="1:11" ht="15" x14ac:dyDescent="0.25">
      <c r="A126" s="48"/>
      <c r="B126" s="49"/>
      <c r="C126" s="50"/>
      <c r="D126" s="50"/>
      <c r="E126" s="50"/>
      <c r="F126" s="50"/>
      <c r="G126" s="50"/>
      <c r="H126" s="50"/>
      <c r="I126" s="50"/>
      <c r="J126" s="52" t="s">
        <v>44</v>
      </c>
      <c r="K126" s="59">
        <v>143.80000000000001</v>
      </c>
    </row>
    <row r="127" spans="1:11" ht="15" x14ac:dyDescent="0.25">
      <c r="A127" s="48"/>
      <c r="B127" s="49"/>
      <c r="C127" s="50"/>
      <c r="D127" s="50"/>
      <c r="E127" s="50"/>
      <c r="F127" s="50"/>
      <c r="G127" s="50"/>
      <c r="H127" s="50"/>
      <c r="I127" s="50"/>
      <c r="J127" s="52" t="s">
        <v>65</v>
      </c>
      <c r="K127" s="53">
        <f>K125+(K124*K126)</f>
        <v>528.01482166611891</v>
      </c>
    </row>
    <row r="128" spans="1:11" ht="15" x14ac:dyDescent="0.25">
      <c r="A128" s="48"/>
      <c r="B128" s="49"/>
      <c r="C128" s="50"/>
      <c r="D128" s="50"/>
      <c r="E128" s="50"/>
      <c r="F128" s="50"/>
      <c r="G128" s="50"/>
      <c r="H128" s="50"/>
      <c r="I128" s="50"/>
      <c r="J128" s="52" t="s">
        <v>66</v>
      </c>
      <c r="K128" s="51">
        <f>136.8+(136.3*K116)+(0.019*K127)</f>
        <v>252.67324022712475</v>
      </c>
    </row>
    <row r="129" spans="1:11" ht="15" x14ac:dyDescent="0.25">
      <c r="A129" s="48"/>
      <c r="B129" s="49"/>
      <c r="C129" s="50"/>
      <c r="D129" s="50"/>
      <c r="E129" s="50"/>
      <c r="F129" s="50"/>
      <c r="G129" s="50"/>
      <c r="H129" s="50"/>
      <c r="I129" s="50"/>
      <c r="J129" s="50"/>
      <c r="K129" s="51"/>
    </row>
    <row r="130" spans="1:11" ht="15.75" thickBot="1" x14ac:dyDescent="0.3">
      <c r="A130" s="55"/>
      <c r="B130" s="56"/>
      <c r="C130" s="57"/>
      <c r="D130" s="57"/>
      <c r="E130" s="57"/>
      <c r="F130" s="57"/>
      <c r="G130" s="57"/>
      <c r="H130" s="57"/>
      <c r="I130" s="57"/>
      <c r="J130" s="57"/>
      <c r="K130" s="58"/>
    </row>
    <row r="131" spans="1:11" x14ac:dyDescent="0.2">
      <c r="A131" s="119" t="s">
        <v>56</v>
      </c>
      <c r="B131" s="120"/>
      <c r="C131" s="120"/>
      <c r="D131" s="120"/>
      <c r="E131" s="120"/>
      <c r="F131" s="120"/>
      <c r="G131" s="120"/>
      <c r="H131" s="120"/>
      <c r="I131" s="120"/>
      <c r="J131" s="120"/>
      <c r="K131" s="121"/>
    </row>
    <row r="132" spans="1:11" x14ac:dyDescent="0.2">
      <c r="A132" s="122"/>
      <c r="B132" s="123"/>
      <c r="C132" s="123"/>
      <c r="D132" s="123"/>
      <c r="E132" s="123"/>
      <c r="F132" s="123"/>
      <c r="G132" s="123"/>
      <c r="H132" s="123"/>
      <c r="I132" s="123"/>
      <c r="J132" s="123"/>
      <c r="K132" s="124"/>
    </row>
    <row r="133" spans="1:11" ht="15" customHeight="1" x14ac:dyDescent="0.2">
      <c r="A133" s="62"/>
      <c r="B133" s="63" t="s">
        <v>54</v>
      </c>
      <c r="C133" s="125" t="s">
        <v>63</v>
      </c>
      <c r="D133" s="125"/>
      <c r="E133" s="125"/>
      <c r="F133" s="125"/>
      <c r="G133" s="125"/>
      <c r="H133" s="125"/>
      <c r="I133" s="60"/>
      <c r="J133" s="60"/>
      <c r="K133" s="61"/>
    </row>
    <row r="134" spans="1:11" ht="15" x14ac:dyDescent="0.25">
      <c r="A134" s="48">
        <f>MULTIPLE_SHOT_DATA!P1</f>
        <v>152.91795349121094</v>
      </c>
      <c r="B134" s="49">
        <f>MULTIPLE_SHOT_DATA!Q1/MULTIPLE_SHOT_DATA!P1</f>
        <v>0.76147555223296493</v>
      </c>
      <c r="C134" s="50"/>
      <c r="D134" s="50"/>
      <c r="E134" s="50"/>
      <c r="F134" s="50"/>
      <c r="G134" s="50"/>
      <c r="H134" s="50"/>
      <c r="I134" s="50"/>
      <c r="J134" s="50"/>
      <c r="K134" s="51"/>
    </row>
    <row r="135" spans="1:11" ht="15" x14ac:dyDescent="0.25">
      <c r="A135" s="48">
        <f>MULTIPLE_SHOT_DATA!P2</f>
        <v>148.97711181640625</v>
      </c>
      <c r="B135" s="49">
        <f>MULTIPLE_SHOT_DATA!Q2/MULTIPLE_SHOT_DATA!P2</f>
        <v>0.76704653232226105</v>
      </c>
      <c r="C135" s="50"/>
      <c r="D135" s="50"/>
      <c r="E135" s="50"/>
      <c r="F135" s="50"/>
      <c r="G135" s="50"/>
      <c r="H135" s="50"/>
      <c r="I135" s="50"/>
      <c r="J135" s="52" t="s">
        <v>40</v>
      </c>
      <c r="K135" s="51">
        <f>SUM(A134:A137)/4</f>
        <v>146.14579772949219</v>
      </c>
    </row>
    <row r="136" spans="1:11" ht="15" x14ac:dyDescent="0.25">
      <c r="A136" s="48">
        <f>MULTIPLE_SHOT_DATA!P3</f>
        <v>142.50262451171875</v>
      </c>
      <c r="B136" s="49">
        <f>MULTIPLE_SHOT_DATA!Q3/MULTIPLE_SHOT_DATA!P3</f>
        <v>0.77641006817394309</v>
      </c>
      <c r="C136" s="50"/>
      <c r="D136" s="50"/>
      <c r="E136" s="50"/>
      <c r="F136" s="50"/>
      <c r="G136" s="50"/>
      <c r="H136" s="50"/>
      <c r="I136" s="50"/>
      <c r="J136" s="52" t="s">
        <v>41</v>
      </c>
      <c r="K136" s="51">
        <f>SUM(B134:B137)/4</f>
        <v>0.77168243640462286</v>
      </c>
    </row>
    <row r="137" spans="1:11" ht="15" x14ac:dyDescent="0.25">
      <c r="A137" s="48">
        <f>MULTIPLE_SHOT_DATA!P4</f>
        <v>140.18550109863281</v>
      </c>
      <c r="B137" s="49">
        <f>MULTIPLE_SHOT_DATA!Q4/MULTIPLE_SHOT_DATA!P4</f>
        <v>0.78179759288932194</v>
      </c>
      <c r="C137" s="50"/>
      <c r="D137" s="50"/>
      <c r="E137" s="50"/>
      <c r="F137" s="50"/>
      <c r="G137" s="50"/>
      <c r="H137" s="50"/>
      <c r="I137" s="50"/>
      <c r="J137" s="52" t="s">
        <v>50</v>
      </c>
      <c r="K137" s="51">
        <f>(A134-K135)*(B134-K136)+(A135-K135)*(B135-K136)+(A136-K135)*(B136-K136)+(A137-K135)*(B137-K136)</f>
        <v>-0.15976122454811215</v>
      </c>
    </row>
    <row r="138" spans="1:11" ht="15" x14ac:dyDescent="0.25">
      <c r="A138" s="48"/>
      <c r="B138" s="49"/>
      <c r="C138" s="50"/>
      <c r="D138" s="50"/>
      <c r="E138" s="50"/>
      <c r="F138" s="50"/>
      <c r="G138" s="50"/>
      <c r="H138" s="50"/>
      <c r="I138" s="50"/>
      <c r="J138" s="52" t="s">
        <v>51</v>
      </c>
      <c r="K138" s="51">
        <f>(A134-K135)^2+(A135-K135)^2+(A136-K135)^2+(A137-K135)^2</f>
        <v>102.67628014227375</v>
      </c>
    </row>
    <row r="139" spans="1:11" ht="15" x14ac:dyDescent="0.25">
      <c r="A139" s="48"/>
      <c r="B139" s="49"/>
      <c r="C139" s="50"/>
      <c r="D139" s="50"/>
      <c r="E139" s="50"/>
      <c r="F139" s="50"/>
      <c r="G139" s="50"/>
      <c r="H139" s="50"/>
      <c r="I139" s="50"/>
      <c r="J139" s="52" t="s">
        <v>42</v>
      </c>
      <c r="K139" s="51">
        <f>K137/K138</f>
        <v>-1.5559701259798119E-3</v>
      </c>
    </row>
    <row r="140" spans="1:11" ht="15" x14ac:dyDescent="0.25">
      <c r="A140" s="48"/>
      <c r="B140" s="49"/>
      <c r="C140" s="50"/>
      <c r="D140" s="50"/>
      <c r="E140" s="50"/>
      <c r="F140" s="50"/>
      <c r="G140" s="50"/>
      <c r="H140" s="50"/>
      <c r="I140" s="50"/>
      <c r="J140" s="52" t="s">
        <v>43</v>
      </c>
      <c r="K140" s="51">
        <f>K136-(K139*K135)</f>
        <v>0.99908093170920087</v>
      </c>
    </row>
    <row r="141" spans="1:11" ht="15" x14ac:dyDescent="0.25">
      <c r="A141" s="48"/>
      <c r="B141" s="49"/>
      <c r="C141" s="50"/>
      <c r="D141" s="50"/>
      <c r="E141" s="50"/>
      <c r="F141" s="50"/>
      <c r="G141" s="50"/>
      <c r="H141" s="50"/>
      <c r="I141" s="50"/>
      <c r="J141" s="52" t="s">
        <v>44</v>
      </c>
      <c r="K141" s="59">
        <v>143.80000000000001</v>
      </c>
    </row>
    <row r="142" spans="1:11" ht="15" x14ac:dyDescent="0.25">
      <c r="A142" s="48"/>
      <c r="B142" s="49"/>
      <c r="C142" s="50"/>
      <c r="D142" s="50"/>
      <c r="E142" s="50"/>
      <c r="F142" s="50"/>
      <c r="G142" s="50"/>
      <c r="H142" s="50"/>
      <c r="I142" s="50"/>
      <c r="J142" s="52" t="s">
        <v>45</v>
      </c>
      <c r="K142" s="53">
        <f>K140+(K139*K141)</f>
        <v>0.7753324275933039</v>
      </c>
    </row>
    <row r="143" spans="1:11" ht="15" x14ac:dyDescent="0.25">
      <c r="A143" s="48"/>
      <c r="B143" s="49"/>
      <c r="C143" s="50"/>
      <c r="D143" s="50"/>
      <c r="E143" s="50"/>
      <c r="F143" s="50"/>
      <c r="G143" s="50"/>
      <c r="H143" s="50"/>
      <c r="I143" s="50"/>
      <c r="J143" s="52" t="s">
        <v>67</v>
      </c>
      <c r="K143" s="54">
        <f>(PEARSON((A134:A137),(B134:B137)))^2</f>
        <v>0.99298834206403297</v>
      </c>
    </row>
    <row r="144" spans="1:11" ht="15" customHeight="1" x14ac:dyDescent="0.25">
      <c r="A144" s="62"/>
      <c r="B144" s="66"/>
      <c r="C144" s="125" t="s">
        <v>64</v>
      </c>
      <c r="D144" s="125"/>
      <c r="E144" s="125"/>
      <c r="F144" s="125"/>
      <c r="G144" s="125"/>
      <c r="H144" s="125"/>
      <c r="I144" s="50"/>
      <c r="J144" s="50"/>
      <c r="K144" s="51"/>
    </row>
    <row r="145" spans="1:11" ht="15" x14ac:dyDescent="0.25">
      <c r="A145" s="48">
        <f>MULTIPLE_SHOT_DATA!P1</f>
        <v>152.91795349121094</v>
      </c>
      <c r="B145" s="49">
        <f>MULTIPLE_SHOT_DATA!R1</f>
        <v>513</v>
      </c>
      <c r="C145" s="50"/>
      <c r="D145" s="50"/>
      <c r="E145" s="50"/>
      <c r="F145" s="50"/>
      <c r="G145" s="50"/>
      <c r="H145" s="50"/>
      <c r="I145" s="50"/>
      <c r="J145" s="50"/>
      <c r="K145" s="51"/>
    </row>
    <row r="146" spans="1:11" ht="15" x14ac:dyDescent="0.25">
      <c r="A146" s="48">
        <f>MULTIPLE_SHOT_DATA!P2</f>
        <v>148.97711181640625</v>
      </c>
      <c r="B146" s="49">
        <f>MULTIPLE_SHOT_DATA!R2</f>
        <v>515</v>
      </c>
      <c r="C146" s="50"/>
      <c r="D146" s="50"/>
      <c r="E146" s="50"/>
      <c r="F146" s="50"/>
      <c r="G146" s="50"/>
      <c r="H146" s="50"/>
      <c r="I146" s="50"/>
      <c r="J146" s="52" t="s">
        <v>40</v>
      </c>
      <c r="K146" s="51">
        <f>SUM(A145:A148)/4</f>
        <v>146.14579772949219</v>
      </c>
    </row>
    <row r="147" spans="1:11" ht="15" x14ac:dyDescent="0.25">
      <c r="A147" s="48">
        <f>MULTIPLE_SHOT_DATA!P3</f>
        <v>142.50262451171875</v>
      </c>
      <c r="B147" s="49">
        <f>MULTIPLE_SHOT_DATA!R3</f>
        <v>518</v>
      </c>
      <c r="C147" s="50"/>
      <c r="D147" s="50"/>
      <c r="E147" s="50"/>
      <c r="F147" s="50"/>
      <c r="G147" s="50"/>
      <c r="H147" s="50"/>
      <c r="I147" s="50"/>
      <c r="J147" s="52" t="s">
        <v>41</v>
      </c>
      <c r="K147" s="51">
        <f>SUM(B145:B148)/4</f>
        <v>517.5</v>
      </c>
    </row>
    <row r="148" spans="1:11" ht="15" x14ac:dyDescent="0.25">
      <c r="A148" s="48">
        <f>MULTIPLE_SHOT_DATA!P4</f>
        <v>140.18550109863281</v>
      </c>
      <c r="B148" s="49">
        <f>MULTIPLE_SHOT_DATA!R4</f>
        <v>524</v>
      </c>
      <c r="C148" s="50"/>
      <c r="D148" s="50"/>
      <c r="E148" s="50"/>
      <c r="F148" s="50"/>
      <c r="G148" s="50"/>
      <c r="H148" s="50"/>
      <c r="I148" s="50"/>
      <c r="J148" s="52" t="s">
        <v>50</v>
      </c>
      <c r="K148" s="51">
        <f>(A145-K146)*(B145-K147)+(A146-K146)*(B146-K147)+(A147-K146)*(B147-K147)+(A148-K146)*(B148-K147)</f>
        <v>-78.116500854492188</v>
      </c>
    </row>
    <row r="149" spans="1:11" ht="15" x14ac:dyDescent="0.25">
      <c r="A149" s="48"/>
      <c r="B149" s="49"/>
      <c r="C149" s="50"/>
      <c r="D149" s="50"/>
      <c r="E149" s="50"/>
      <c r="F149" s="50"/>
      <c r="G149" s="50"/>
      <c r="H149" s="50"/>
      <c r="I149" s="50"/>
      <c r="J149" s="52" t="s">
        <v>51</v>
      </c>
      <c r="K149" s="51">
        <f>(A145-K146)^2+(A146-K146)^2+(A147-K146)^2+(A148-K146)^2</f>
        <v>102.67628014227375</v>
      </c>
    </row>
    <row r="150" spans="1:11" ht="15" x14ac:dyDescent="0.25">
      <c r="A150" s="48" t="s">
        <v>5</v>
      </c>
      <c r="B150" s="49">
        <f>MAX(B145:B148)-MIN(B145:B148)</f>
        <v>11</v>
      </c>
      <c r="C150" s="50"/>
      <c r="D150" s="50"/>
      <c r="E150" s="50"/>
      <c r="F150" s="50"/>
      <c r="G150" s="50"/>
      <c r="H150" s="50"/>
      <c r="I150" s="50"/>
      <c r="J150" s="52" t="s">
        <v>42</v>
      </c>
      <c r="K150" s="51">
        <f>K148/K149</f>
        <v>-0.76080376837035568</v>
      </c>
    </row>
    <row r="151" spans="1:11" ht="15" x14ac:dyDescent="0.25">
      <c r="A151" s="48"/>
      <c r="B151" s="49"/>
      <c r="C151" s="50"/>
      <c r="D151" s="50"/>
      <c r="E151" s="50"/>
      <c r="F151" s="50"/>
      <c r="G151" s="50"/>
      <c r="H151" s="50"/>
      <c r="I151" s="50"/>
      <c r="J151" s="52" t="s">
        <v>43</v>
      </c>
      <c r="K151" s="51">
        <f>K147-(K150*K146)</f>
        <v>628.68827364408946</v>
      </c>
    </row>
    <row r="152" spans="1:11" ht="15" x14ac:dyDescent="0.25">
      <c r="A152" s="48"/>
      <c r="B152" s="49"/>
      <c r="C152" s="50"/>
      <c r="D152" s="50"/>
      <c r="E152" s="50"/>
      <c r="F152" s="50"/>
      <c r="G152" s="50"/>
      <c r="H152" s="50"/>
      <c r="I152" s="50"/>
      <c r="J152" s="52" t="s">
        <v>44</v>
      </c>
      <c r="K152" s="59">
        <v>143.80000000000001</v>
      </c>
    </row>
    <row r="153" spans="1:11" ht="15" x14ac:dyDescent="0.25">
      <c r="A153" s="48"/>
      <c r="B153" s="49"/>
      <c r="C153" s="50"/>
      <c r="D153" s="50"/>
      <c r="E153" s="50"/>
      <c r="F153" s="50"/>
      <c r="G153" s="50"/>
      <c r="H153" s="50"/>
      <c r="I153" s="50"/>
      <c r="J153" s="52" t="s">
        <v>65</v>
      </c>
      <c r="K153" s="53">
        <f>K151+(K150*K152)</f>
        <v>519.28469175243231</v>
      </c>
    </row>
    <row r="154" spans="1:11" ht="15" x14ac:dyDescent="0.25">
      <c r="A154" s="48"/>
      <c r="B154" s="49"/>
      <c r="C154" s="50"/>
      <c r="D154" s="50"/>
      <c r="E154" s="50"/>
      <c r="F154" s="50"/>
      <c r="G154" s="50"/>
      <c r="H154" s="50"/>
      <c r="I154" s="50"/>
      <c r="J154" s="52" t="s">
        <v>66</v>
      </c>
      <c r="K154" s="51">
        <f>136.8+(136.3*K142)+(0.019*K153)</f>
        <v>252.34421902426357</v>
      </c>
    </row>
    <row r="155" spans="1:11" ht="15" x14ac:dyDescent="0.25">
      <c r="A155" s="48"/>
      <c r="B155" s="49"/>
      <c r="C155" s="50"/>
      <c r="D155" s="50"/>
      <c r="E155" s="50"/>
      <c r="F155" s="50"/>
      <c r="G155" s="50"/>
      <c r="H155" s="50"/>
      <c r="I155" s="50"/>
      <c r="J155" s="50"/>
      <c r="K155" s="51"/>
    </row>
    <row r="156" spans="1:11" ht="15.75" thickBot="1" x14ac:dyDescent="0.3">
      <c r="A156" s="55"/>
      <c r="B156" s="56"/>
      <c r="C156" s="57"/>
      <c r="D156" s="57"/>
      <c r="E156" s="57"/>
      <c r="F156" s="57"/>
      <c r="G156" s="57"/>
      <c r="H156" s="57"/>
      <c r="I156" s="57"/>
      <c r="J156" s="57"/>
      <c r="K156" s="58"/>
    </row>
    <row r="157" spans="1:11" x14ac:dyDescent="0.2">
      <c r="A157" s="119" t="s">
        <v>57</v>
      </c>
      <c r="B157" s="120"/>
      <c r="C157" s="120"/>
      <c r="D157" s="120"/>
      <c r="E157" s="120"/>
      <c r="F157" s="120"/>
      <c r="G157" s="120"/>
      <c r="H157" s="120"/>
      <c r="I157" s="120"/>
      <c r="J157" s="120"/>
      <c r="K157" s="121"/>
    </row>
    <row r="158" spans="1:11" x14ac:dyDescent="0.2">
      <c r="A158" s="122"/>
      <c r="B158" s="123"/>
      <c r="C158" s="123"/>
      <c r="D158" s="123"/>
      <c r="E158" s="123"/>
      <c r="F158" s="123"/>
      <c r="G158" s="123"/>
      <c r="H158" s="123"/>
      <c r="I158" s="123"/>
      <c r="J158" s="123"/>
      <c r="K158" s="124"/>
    </row>
    <row r="159" spans="1:11" ht="15" customHeight="1" x14ac:dyDescent="0.2">
      <c r="A159" s="62"/>
      <c r="B159" s="63" t="s">
        <v>54</v>
      </c>
      <c r="C159" s="125" t="s">
        <v>63</v>
      </c>
      <c r="D159" s="125"/>
      <c r="E159" s="125"/>
      <c r="F159" s="125"/>
      <c r="G159" s="125"/>
      <c r="H159" s="125"/>
      <c r="I159" s="60"/>
      <c r="J159" s="60"/>
      <c r="K159" s="61"/>
    </row>
    <row r="160" spans="1:11" ht="15" x14ac:dyDescent="0.25">
      <c r="A160" s="64">
        <f>MULTIPLE_SHOT_DATA!S1</f>
        <v>152.63787841796875</v>
      </c>
      <c r="B160" s="65">
        <f>MULTIPLE_SHOT_DATA!T1/MULTIPLE_SHOT_DATA!S1</f>
        <v>0.76171866096666729</v>
      </c>
      <c r="C160" s="50"/>
      <c r="D160" s="50"/>
      <c r="E160" s="50"/>
      <c r="F160" s="50"/>
      <c r="G160" s="50"/>
      <c r="H160" s="50"/>
      <c r="I160" s="50"/>
      <c r="J160" s="50"/>
      <c r="K160" s="51"/>
    </row>
    <row r="161" spans="1:11" ht="15" x14ac:dyDescent="0.25">
      <c r="A161" s="64">
        <f>MULTIPLE_SHOT_DATA!S2</f>
        <v>147.43968200683594</v>
      </c>
      <c r="B161" s="65">
        <f>MULTIPLE_SHOT_DATA!T2/MULTIPLE_SHOT_DATA!S2</f>
        <v>0.76758249611103924</v>
      </c>
      <c r="C161" s="50"/>
      <c r="D161" s="50"/>
      <c r="E161" s="50"/>
      <c r="F161" s="50"/>
      <c r="G161" s="50"/>
      <c r="H161" s="50"/>
      <c r="I161" s="50"/>
      <c r="J161" s="52" t="s">
        <v>40</v>
      </c>
      <c r="K161" s="51">
        <f>SUM(A160:A163)/4</f>
        <v>145.74771499633789</v>
      </c>
    </row>
    <row r="162" spans="1:11" ht="15" x14ac:dyDescent="0.25">
      <c r="A162" s="64">
        <f>MULTIPLE_SHOT_DATA!S3</f>
        <v>142.76707458496094</v>
      </c>
      <c r="B162" s="65">
        <f>MULTIPLE_SHOT_DATA!T3/MULTIPLE_SHOT_DATA!S3</f>
        <v>0.77497190955094508</v>
      </c>
      <c r="C162" s="50"/>
      <c r="D162" s="50"/>
      <c r="E162" s="50"/>
      <c r="F162" s="50"/>
      <c r="G162" s="50"/>
      <c r="H162" s="50"/>
      <c r="I162" s="50"/>
      <c r="J162" s="52" t="s">
        <v>41</v>
      </c>
      <c r="K162" s="51">
        <f>SUM(B160:B163)/4</f>
        <v>0.77112310178757604</v>
      </c>
    </row>
    <row r="163" spans="1:11" ht="15" x14ac:dyDescent="0.25">
      <c r="A163" s="64">
        <f>MULTIPLE_SHOT_DATA!S4</f>
        <v>140.14622497558594</v>
      </c>
      <c r="B163" s="65">
        <f>MULTIPLE_SHOT_DATA!T4/MULTIPLE_SHOT_DATA!S4</f>
        <v>0.78021934052165232</v>
      </c>
      <c r="C163" s="50"/>
      <c r="D163" s="50"/>
      <c r="E163" s="50"/>
      <c r="F163" s="50"/>
      <c r="G163" s="50"/>
      <c r="H163" s="50"/>
      <c r="I163" s="50"/>
      <c r="J163" s="52" t="s">
        <v>50</v>
      </c>
      <c r="K163" s="51">
        <f>(A160-K161)*(B160-K162)+(A161-K161)*(B161-K162)+(A162-K161)*(B162-K162)+(A163-K161)*(B163-K162)</f>
        <v>-0.13321312459742468</v>
      </c>
    </row>
    <row r="164" spans="1:11" ht="15" x14ac:dyDescent="0.25">
      <c r="A164" s="64"/>
      <c r="B164" s="65"/>
      <c r="C164" s="50"/>
      <c r="D164" s="50"/>
      <c r="E164" s="50"/>
      <c r="F164" s="50"/>
      <c r="G164" s="50"/>
      <c r="H164" s="50"/>
      <c r="I164" s="50"/>
      <c r="J164" s="52" t="s">
        <v>51</v>
      </c>
      <c r="K164" s="51">
        <f>(A160-K161)^2+(A161-K161)^2+(A162-K161)^2+(A163-K161)^2</f>
        <v>90.598012055910658</v>
      </c>
    </row>
    <row r="165" spans="1:11" ht="15" x14ac:dyDescent="0.25">
      <c r="A165" s="64"/>
      <c r="B165" s="65"/>
      <c r="C165" s="50"/>
      <c r="D165" s="50"/>
      <c r="E165" s="50"/>
      <c r="F165" s="50"/>
      <c r="G165" s="50"/>
      <c r="H165" s="50"/>
      <c r="I165" s="50"/>
      <c r="J165" s="52" t="s">
        <v>42</v>
      </c>
      <c r="K165" s="51">
        <f>K163/K164</f>
        <v>-1.4703758015707344E-3</v>
      </c>
    </row>
    <row r="166" spans="1:11" ht="15" x14ac:dyDescent="0.25">
      <c r="A166" s="64"/>
      <c r="B166" s="65"/>
      <c r="C166" s="50"/>
      <c r="D166" s="50"/>
      <c r="E166" s="50"/>
      <c r="F166" s="50"/>
      <c r="G166" s="50"/>
      <c r="H166" s="50"/>
      <c r="I166" s="50"/>
      <c r="J166" s="52" t="s">
        <v>43</v>
      </c>
      <c r="K166" s="51">
        <f>K162-(K165*K161)</f>
        <v>0.98542701505241936</v>
      </c>
    </row>
    <row r="167" spans="1:11" ht="15" x14ac:dyDescent="0.25">
      <c r="A167" s="64"/>
      <c r="B167" s="65"/>
      <c r="C167" s="50"/>
      <c r="D167" s="50"/>
      <c r="E167" s="50"/>
      <c r="F167" s="50"/>
      <c r="G167" s="50"/>
      <c r="H167" s="50"/>
      <c r="I167" s="50"/>
      <c r="J167" s="52" t="s">
        <v>44</v>
      </c>
      <c r="K167" s="59">
        <v>143.80000000000001</v>
      </c>
    </row>
    <row r="168" spans="1:11" ht="15" x14ac:dyDescent="0.25">
      <c r="A168" s="64"/>
      <c r="B168" s="65"/>
      <c r="C168" s="50"/>
      <c r="D168" s="50"/>
      <c r="E168" s="50"/>
      <c r="F168" s="50"/>
      <c r="G168" s="50"/>
      <c r="H168" s="50"/>
      <c r="I168" s="50"/>
      <c r="J168" s="52" t="s">
        <v>45</v>
      </c>
      <c r="K168" s="53">
        <f>K166+(K165*K167)</f>
        <v>0.77398697478654777</v>
      </c>
    </row>
    <row r="169" spans="1:11" ht="15" x14ac:dyDescent="0.25">
      <c r="A169" s="64"/>
      <c r="B169" s="65"/>
      <c r="C169" s="50"/>
      <c r="D169" s="50"/>
      <c r="E169" s="50"/>
      <c r="F169" s="50"/>
      <c r="G169" s="50"/>
      <c r="H169" s="50"/>
      <c r="I169" s="50"/>
      <c r="J169" s="52" t="s">
        <v>67</v>
      </c>
      <c r="K169" s="54">
        <f>(PEARSON((A160:A163),(B160:B163)))^2</f>
        <v>0.98659716996441738</v>
      </c>
    </row>
    <row r="170" spans="1:11" ht="15" customHeight="1" x14ac:dyDescent="0.25">
      <c r="A170" s="62"/>
      <c r="B170" s="66"/>
      <c r="C170" s="125" t="s">
        <v>64</v>
      </c>
      <c r="D170" s="125"/>
      <c r="E170" s="125"/>
      <c r="F170" s="125"/>
      <c r="G170" s="125"/>
      <c r="H170" s="125"/>
      <c r="I170" s="50"/>
      <c r="J170" s="50"/>
      <c r="K170" s="51"/>
    </row>
    <row r="171" spans="1:11" ht="15" x14ac:dyDescent="0.25">
      <c r="A171" s="64">
        <f>MULTIPLE_SHOT_DATA!S1</f>
        <v>152.63787841796875</v>
      </c>
      <c r="B171" s="65">
        <f>MULTIPLE_SHOT_DATA!U1</f>
        <v>533</v>
      </c>
      <c r="C171" s="50"/>
      <c r="D171" s="50"/>
      <c r="E171" s="50"/>
      <c r="F171" s="50"/>
      <c r="G171" s="50"/>
      <c r="H171" s="50"/>
      <c r="I171" s="50"/>
      <c r="J171" s="50"/>
      <c r="K171" s="51"/>
    </row>
    <row r="172" spans="1:11" ht="15" x14ac:dyDescent="0.25">
      <c r="A172" s="64">
        <f>MULTIPLE_SHOT_DATA!S2</f>
        <v>147.43968200683594</v>
      </c>
      <c r="B172" s="65">
        <f>MULTIPLE_SHOT_DATA!U2</f>
        <v>536</v>
      </c>
      <c r="C172" s="50"/>
      <c r="D172" s="50"/>
      <c r="E172" s="50"/>
      <c r="F172" s="50"/>
      <c r="G172" s="50"/>
      <c r="H172" s="50"/>
      <c r="I172" s="50"/>
      <c r="J172" s="52" t="s">
        <v>40</v>
      </c>
      <c r="K172" s="51">
        <f>SUM(A171:A174)/4</f>
        <v>145.74771499633789</v>
      </c>
    </row>
    <row r="173" spans="1:11" ht="15" x14ac:dyDescent="0.25">
      <c r="A173" s="64">
        <f>MULTIPLE_SHOT_DATA!S3</f>
        <v>142.76707458496094</v>
      </c>
      <c r="B173" s="65">
        <f>MULTIPLE_SHOT_DATA!U3</f>
        <v>537</v>
      </c>
      <c r="C173" s="50"/>
      <c r="D173" s="50"/>
      <c r="E173" s="50"/>
      <c r="F173" s="50"/>
      <c r="G173" s="50"/>
      <c r="H173" s="50"/>
      <c r="I173" s="50"/>
      <c r="J173" s="52" t="s">
        <v>41</v>
      </c>
      <c r="K173" s="51">
        <f>SUM(B171:B174)/4</f>
        <v>536.5</v>
      </c>
    </row>
    <row r="174" spans="1:11" ht="15" x14ac:dyDescent="0.25">
      <c r="A174" s="64">
        <f>MULTIPLE_SHOT_DATA!S4</f>
        <v>140.14622497558594</v>
      </c>
      <c r="B174" s="65">
        <f>MULTIPLE_SHOT_DATA!U4</f>
        <v>540</v>
      </c>
      <c r="C174" s="50"/>
      <c r="D174" s="50"/>
      <c r="E174" s="50"/>
      <c r="F174" s="50"/>
      <c r="G174" s="50"/>
      <c r="H174" s="50"/>
      <c r="I174" s="50"/>
      <c r="J174" s="52" t="s">
        <v>50</v>
      </c>
      <c r="K174" s="51">
        <f>(A171-K172)*(B171-K173)+(A172-K172)*(B172-K173)+(A173-K172)*(B173-K173)+(A174-K172)*(B174-K173)</f>
        <v>-46.057090759277344</v>
      </c>
    </row>
    <row r="175" spans="1:11" ht="15" x14ac:dyDescent="0.25">
      <c r="A175" s="48"/>
      <c r="B175" s="49"/>
      <c r="C175" s="50"/>
      <c r="D175" s="50"/>
      <c r="E175" s="50"/>
      <c r="F175" s="50"/>
      <c r="G175" s="50"/>
      <c r="H175" s="50"/>
      <c r="I175" s="50"/>
      <c r="J175" s="52" t="s">
        <v>51</v>
      </c>
      <c r="K175" s="51">
        <f>(A171-K172)^2+(A172-K172)^2+(A173-K172)^2+(A174-K172)^2</f>
        <v>90.598012055910658</v>
      </c>
    </row>
    <row r="176" spans="1:11" ht="15" x14ac:dyDescent="0.25">
      <c r="A176" s="48" t="s">
        <v>5</v>
      </c>
      <c r="B176" s="49">
        <f>MAX(B171:B174)-MIN(B171:B174)</f>
        <v>7</v>
      </c>
      <c r="C176" s="50"/>
      <c r="D176" s="50"/>
      <c r="E176" s="50"/>
      <c r="F176" s="50"/>
      <c r="G176" s="50"/>
      <c r="H176" s="50"/>
      <c r="I176" s="50"/>
      <c r="J176" s="52" t="s">
        <v>42</v>
      </c>
      <c r="K176" s="51">
        <f>K174/K175</f>
        <v>-0.50836756474142253</v>
      </c>
    </row>
    <row r="177" spans="1:11" ht="15" x14ac:dyDescent="0.25">
      <c r="A177" s="48"/>
      <c r="B177" s="49"/>
      <c r="C177" s="50"/>
      <c r="D177" s="50"/>
      <c r="E177" s="50"/>
      <c r="F177" s="50"/>
      <c r="G177" s="50"/>
      <c r="H177" s="50"/>
      <c r="I177" s="50"/>
      <c r="J177" s="52" t="s">
        <v>43</v>
      </c>
      <c r="K177" s="51">
        <f>K173-(K176*K172)</f>
        <v>610.59341093931516</v>
      </c>
    </row>
    <row r="178" spans="1:11" ht="15" x14ac:dyDescent="0.25">
      <c r="A178" s="48"/>
      <c r="B178" s="49"/>
      <c r="C178" s="50"/>
      <c r="D178" s="50"/>
      <c r="E178" s="50"/>
      <c r="F178" s="50"/>
      <c r="G178" s="50"/>
      <c r="H178" s="50"/>
      <c r="I178" s="50"/>
      <c r="J178" s="52" t="s">
        <v>44</v>
      </c>
      <c r="K178" s="59">
        <v>143.80000000000001</v>
      </c>
    </row>
    <row r="179" spans="1:11" ht="15" x14ac:dyDescent="0.25">
      <c r="A179" s="48"/>
      <c r="B179" s="49"/>
      <c r="C179" s="50"/>
      <c r="D179" s="50"/>
      <c r="E179" s="50"/>
      <c r="F179" s="50"/>
      <c r="G179" s="50"/>
      <c r="H179" s="50"/>
      <c r="I179" s="50"/>
      <c r="J179" s="52" t="s">
        <v>65</v>
      </c>
      <c r="K179" s="53">
        <f>K177+(K176*K178)</f>
        <v>537.49015512949859</v>
      </c>
    </row>
    <row r="180" spans="1:11" ht="15" x14ac:dyDescent="0.25">
      <c r="A180" s="48"/>
      <c r="B180" s="49"/>
      <c r="C180" s="50"/>
      <c r="D180" s="50"/>
      <c r="E180" s="50"/>
      <c r="F180" s="50"/>
      <c r="G180" s="50"/>
      <c r="H180" s="50"/>
      <c r="I180" s="50"/>
      <c r="J180" s="52" t="s">
        <v>66</v>
      </c>
      <c r="K180" s="51">
        <f>136.8+(136.3*K168)+(0.019*K179)</f>
        <v>252.50673761086694</v>
      </c>
    </row>
    <row r="181" spans="1:11" ht="15" x14ac:dyDescent="0.25">
      <c r="A181" s="48"/>
      <c r="B181" s="49"/>
      <c r="C181" s="50"/>
      <c r="D181" s="50"/>
      <c r="E181" s="50"/>
      <c r="F181" s="50"/>
      <c r="G181" s="50"/>
      <c r="H181" s="50"/>
      <c r="I181" s="50"/>
      <c r="J181" s="50"/>
      <c r="K181" s="51"/>
    </row>
    <row r="182" spans="1:11" ht="15.75" thickBot="1" x14ac:dyDescent="0.3">
      <c r="A182" s="55"/>
      <c r="B182" s="56"/>
      <c r="C182" s="57"/>
      <c r="D182" s="57"/>
      <c r="E182" s="57"/>
      <c r="F182" s="57"/>
      <c r="G182" s="57"/>
      <c r="H182" s="57"/>
      <c r="I182" s="57"/>
      <c r="J182" s="57"/>
      <c r="K182" s="58"/>
    </row>
    <row r="183" spans="1:11" x14ac:dyDescent="0.2">
      <c r="A183" s="119" t="s">
        <v>58</v>
      </c>
      <c r="B183" s="120"/>
      <c r="C183" s="120"/>
      <c r="D183" s="120"/>
      <c r="E183" s="120"/>
      <c r="F183" s="120"/>
      <c r="G183" s="120"/>
      <c r="H183" s="120"/>
      <c r="I183" s="120"/>
      <c r="J183" s="120"/>
      <c r="K183" s="121"/>
    </row>
    <row r="184" spans="1:11" x14ac:dyDescent="0.2">
      <c r="A184" s="122"/>
      <c r="B184" s="123"/>
      <c r="C184" s="123"/>
      <c r="D184" s="123"/>
      <c r="E184" s="123"/>
      <c r="F184" s="123"/>
      <c r="G184" s="123"/>
      <c r="H184" s="123"/>
      <c r="I184" s="123"/>
      <c r="J184" s="123"/>
      <c r="K184" s="124"/>
    </row>
    <row r="185" spans="1:11" ht="15" customHeight="1" x14ac:dyDescent="0.2">
      <c r="A185" s="62"/>
      <c r="B185" s="63" t="s">
        <v>54</v>
      </c>
      <c r="C185" s="125" t="s">
        <v>63</v>
      </c>
      <c r="D185" s="125"/>
      <c r="E185" s="125"/>
      <c r="F185" s="125"/>
      <c r="G185" s="125"/>
      <c r="H185" s="125"/>
      <c r="I185" s="60"/>
      <c r="J185" s="60"/>
      <c r="K185" s="61"/>
    </row>
    <row r="186" spans="1:11" ht="15" x14ac:dyDescent="0.25">
      <c r="A186" s="48">
        <f>MULTIPLE_SHOT_DATA!V1</f>
        <v>152.26605224609375</v>
      </c>
      <c r="B186" s="49">
        <f>MULTIPLE_SHOT_DATA!W1/MULTIPLE_SHOT_DATA!V1</f>
        <v>0.76012891390520887</v>
      </c>
      <c r="C186" s="50"/>
      <c r="D186" s="50"/>
      <c r="E186" s="50"/>
      <c r="F186" s="50"/>
      <c r="G186" s="50"/>
      <c r="H186" s="50"/>
      <c r="I186" s="50"/>
      <c r="J186" s="50"/>
      <c r="K186" s="51"/>
    </row>
    <row r="187" spans="1:11" ht="15" x14ac:dyDescent="0.25">
      <c r="A187" s="48">
        <f>MULTIPLE_SHOT_DATA!V2</f>
        <v>148.71127319335938</v>
      </c>
      <c r="B187" s="49">
        <f>MULTIPLE_SHOT_DATA!W2/MULTIPLE_SHOT_DATA!V2</f>
        <v>0.76509238409175839</v>
      </c>
      <c r="C187" s="50"/>
      <c r="D187" s="50"/>
      <c r="E187" s="50"/>
      <c r="F187" s="50"/>
      <c r="G187" s="50"/>
      <c r="H187" s="50"/>
      <c r="I187" s="50"/>
      <c r="J187" s="52" t="s">
        <v>40</v>
      </c>
      <c r="K187" s="51">
        <f>SUM(A186:A189)/4</f>
        <v>145.78965759277344</v>
      </c>
    </row>
    <row r="188" spans="1:11" ht="15" x14ac:dyDescent="0.25">
      <c r="A188" s="48">
        <f>MULTIPLE_SHOT_DATA!V3</f>
        <v>141.95648193359375</v>
      </c>
      <c r="B188" s="49">
        <f>MULTIPLE_SHOT_DATA!W3/MULTIPLE_SHOT_DATA!V3</f>
        <v>0.77664485352446344</v>
      </c>
      <c r="C188" s="50"/>
      <c r="D188" s="50"/>
      <c r="E188" s="50"/>
      <c r="F188" s="50"/>
      <c r="G188" s="50"/>
      <c r="H188" s="50"/>
      <c r="I188" s="50"/>
      <c r="J188" s="52" t="s">
        <v>41</v>
      </c>
      <c r="K188" s="51">
        <f>SUM(B186:B189)/4</f>
        <v>0.76964696603887384</v>
      </c>
    </row>
    <row r="189" spans="1:11" ht="15" x14ac:dyDescent="0.25">
      <c r="A189" s="48">
        <f>MULTIPLE_SHOT_DATA!V4</f>
        <v>140.22482299804688</v>
      </c>
      <c r="B189" s="49">
        <f>MULTIPLE_SHOT_DATA!W4/MULTIPLE_SHOT_DATA!V4</f>
        <v>0.77672171263406475</v>
      </c>
      <c r="C189" s="50"/>
      <c r="D189" s="50"/>
      <c r="E189" s="50"/>
      <c r="F189" s="50"/>
      <c r="G189" s="50"/>
      <c r="H189" s="50"/>
      <c r="I189" s="50"/>
      <c r="J189" s="52" t="s">
        <v>50</v>
      </c>
      <c r="K189" s="51">
        <f>(A186-K187)*(B186-K188)+(A187-K187)*(B187-K188)+(A188-K187)*(B188-K188)+(A189-K187)*(B189-K188)</f>
        <v>-0.14114332619661393</v>
      </c>
    </row>
    <row r="190" spans="1:11" ht="15" x14ac:dyDescent="0.25">
      <c r="A190" s="48"/>
      <c r="B190" s="49"/>
      <c r="C190" s="50"/>
      <c r="D190" s="50"/>
      <c r="E190" s="50"/>
      <c r="F190" s="50"/>
      <c r="G190" s="50"/>
      <c r="H190" s="50"/>
      <c r="I190" s="50"/>
      <c r="J190" s="52" t="s">
        <v>51</v>
      </c>
      <c r="K190" s="51">
        <f>(A186-K187)^2+(A187-K187)^2+(A188-K187)^2+(A189-K187)^2</f>
        <v>96.140145123936236</v>
      </c>
    </row>
    <row r="191" spans="1:11" ht="15" x14ac:dyDescent="0.25">
      <c r="A191" s="48"/>
      <c r="B191" s="49"/>
      <c r="C191" s="50"/>
      <c r="D191" s="50"/>
      <c r="E191" s="50"/>
      <c r="F191" s="50"/>
      <c r="G191" s="50"/>
      <c r="H191" s="50"/>
      <c r="I191" s="50"/>
      <c r="J191" s="52" t="s">
        <v>42</v>
      </c>
      <c r="K191" s="51">
        <f>K189/K190</f>
        <v>-1.46809978302678E-3</v>
      </c>
    </row>
    <row r="192" spans="1:11" ht="15" x14ac:dyDescent="0.25">
      <c r="A192" s="48"/>
      <c r="B192" s="49"/>
      <c r="C192" s="50"/>
      <c r="D192" s="50"/>
      <c r="E192" s="50"/>
      <c r="F192" s="50"/>
      <c r="G192" s="50"/>
      <c r="H192" s="50"/>
      <c r="I192" s="50"/>
      <c r="J192" s="52" t="s">
        <v>43</v>
      </c>
      <c r="K192" s="51">
        <f>K188-(K191*K187)</f>
        <v>0.98368073071837303</v>
      </c>
    </row>
    <row r="193" spans="1:11" ht="15" x14ac:dyDescent="0.25">
      <c r="A193" s="48"/>
      <c r="B193" s="49"/>
      <c r="C193" s="50"/>
      <c r="D193" s="50"/>
      <c r="E193" s="50"/>
      <c r="F193" s="50"/>
      <c r="G193" s="50"/>
      <c r="H193" s="50"/>
      <c r="I193" s="50"/>
      <c r="J193" s="52" t="s">
        <v>44</v>
      </c>
      <c r="K193" s="59">
        <v>143.80000000000001</v>
      </c>
    </row>
    <row r="194" spans="1:11" ht="15" x14ac:dyDescent="0.25">
      <c r="A194" s="48"/>
      <c r="B194" s="49"/>
      <c r="C194" s="50"/>
      <c r="D194" s="50"/>
      <c r="E194" s="50"/>
      <c r="F194" s="50"/>
      <c r="G194" s="50"/>
      <c r="H194" s="50"/>
      <c r="I194" s="50"/>
      <c r="J194" s="52" t="s">
        <v>45</v>
      </c>
      <c r="K194" s="53">
        <f>K192+(K191*K193)</f>
        <v>0.77256798191912202</v>
      </c>
    </row>
    <row r="195" spans="1:11" ht="15" x14ac:dyDescent="0.25">
      <c r="A195" s="48"/>
      <c r="B195" s="49"/>
      <c r="C195" s="50"/>
      <c r="D195" s="50"/>
      <c r="E195" s="50"/>
      <c r="F195" s="50"/>
      <c r="G195" s="50"/>
      <c r="H195" s="50"/>
      <c r="I195" s="50"/>
      <c r="J195" s="52" t="s">
        <v>67</v>
      </c>
      <c r="K195" s="54">
        <f>(PEARSON((A186:A189),(B186:B189)))^2</f>
        <v>0.98503748246937861</v>
      </c>
    </row>
    <row r="196" spans="1:11" ht="15" customHeight="1" x14ac:dyDescent="0.25">
      <c r="A196" s="62"/>
      <c r="B196" s="66"/>
      <c r="C196" s="125" t="s">
        <v>64</v>
      </c>
      <c r="D196" s="125"/>
      <c r="E196" s="125"/>
      <c r="F196" s="125"/>
      <c r="G196" s="125"/>
      <c r="H196" s="125"/>
      <c r="I196" s="50"/>
      <c r="J196" s="50"/>
      <c r="K196" s="51"/>
    </row>
    <row r="197" spans="1:11" ht="15" x14ac:dyDescent="0.25">
      <c r="A197" s="48">
        <f>MULTIPLE_SHOT_DATA!V1</f>
        <v>152.26605224609375</v>
      </c>
      <c r="B197" s="49">
        <f>MULTIPLE_SHOT_DATA!X1</f>
        <v>530</v>
      </c>
      <c r="C197" s="50"/>
      <c r="D197" s="50"/>
      <c r="E197" s="50"/>
      <c r="F197" s="50"/>
      <c r="G197" s="50"/>
      <c r="H197" s="50"/>
      <c r="I197" s="50"/>
      <c r="J197" s="50"/>
      <c r="K197" s="51"/>
    </row>
    <row r="198" spans="1:11" ht="15" x14ac:dyDescent="0.25">
      <c r="A198" s="48">
        <f>MULTIPLE_SHOT_DATA!V2</f>
        <v>148.71127319335938</v>
      </c>
      <c r="B198" s="49">
        <f>MULTIPLE_SHOT_DATA!X2</f>
        <v>535</v>
      </c>
      <c r="C198" s="50"/>
      <c r="D198" s="50"/>
      <c r="E198" s="50"/>
      <c r="F198" s="50"/>
      <c r="G198" s="50"/>
      <c r="H198" s="50"/>
      <c r="I198" s="50"/>
      <c r="J198" s="52" t="s">
        <v>40</v>
      </c>
      <c r="K198" s="51">
        <f>SUM(A197:A200)/4</f>
        <v>145.78965759277344</v>
      </c>
    </row>
    <row r="199" spans="1:11" ht="15" x14ac:dyDescent="0.25">
      <c r="A199" s="48">
        <f>MULTIPLE_SHOT_DATA!V3</f>
        <v>141.95648193359375</v>
      </c>
      <c r="B199" s="49">
        <f>MULTIPLE_SHOT_DATA!X3</f>
        <v>536</v>
      </c>
      <c r="C199" s="50"/>
      <c r="D199" s="50"/>
      <c r="E199" s="50"/>
      <c r="F199" s="50"/>
      <c r="G199" s="50"/>
      <c r="H199" s="50"/>
      <c r="I199" s="50"/>
      <c r="J199" s="52" t="s">
        <v>41</v>
      </c>
      <c r="K199" s="51">
        <f>SUM(B197:B200)/4</f>
        <v>535</v>
      </c>
    </row>
    <row r="200" spans="1:11" ht="15" x14ac:dyDescent="0.25">
      <c r="A200" s="48">
        <f>MULTIPLE_SHOT_DATA!V4</f>
        <v>140.22482299804688</v>
      </c>
      <c r="B200" s="49">
        <f>MULTIPLE_SHOT_DATA!X4</f>
        <v>539</v>
      </c>
      <c r="C200" s="50"/>
      <c r="D200" s="50"/>
      <c r="E200" s="50"/>
      <c r="F200" s="50"/>
      <c r="G200" s="50"/>
      <c r="H200" s="50"/>
      <c r="I200" s="50"/>
      <c r="J200" s="52" t="s">
        <v>50</v>
      </c>
      <c r="K200" s="51">
        <f>(A197-K198)*(B197-K199)+(A198-K198)*(B198-K199)+(A199-K198)*(B199-K199)+(A200-K198)*(B200-K199)</f>
        <v>-58.4744873046875</v>
      </c>
    </row>
    <row r="201" spans="1:11" ht="15" x14ac:dyDescent="0.25">
      <c r="A201" s="48"/>
      <c r="B201" s="49"/>
      <c r="C201" s="50"/>
      <c r="D201" s="50"/>
      <c r="E201" s="50"/>
      <c r="F201" s="50"/>
      <c r="G201" s="50"/>
      <c r="H201" s="50"/>
      <c r="I201" s="50"/>
      <c r="J201" s="52" t="s">
        <v>51</v>
      </c>
      <c r="K201" s="51">
        <f>(A197-K198)^2+(A198-K198)^2+(A199-K198)^2+(A200-K198)^2</f>
        <v>96.140145123936236</v>
      </c>
    </row>
    <row r="202" spans="1:11" ht="15" x14ac:dyDescent="0.25">
      <c r="A202" s="48" t="s">
        <v>5</v>
      </c>
      <c r="B202" s="49">
        <f>MAX(B197:B200)-MIN(B197:B200)</f>
        <v>9</v>
      </c>
      <c r="C202" s="50"/>
      <c r="D202" s="50"/>
      <c r="E202" s="50"/>
      <c r="F202" s="50"/>
      <c r="G202" s="50"/>
      <c r="H202" s="50"/>
      <c r="I202" s="50"/>
      <c r="J202" s="52" t="s">
        <v>42</v>
      </c>
      <c r="K202" s="51">
        <f>K200/K201</f>
        <v>-0.60822133385909538</v>
      </c>
    </row>
    <row r="203" spans="1:11" ht="15" x14ac:dyDescent="0.25">
      <c r="A203" s="48"/>
      <c r="B203" s="49"/>
      <c r="C203" s="50"/>
      <c r="D203" s="50"/>
      <c r="E203" s="50"/>
      <c r="F203" s="50"/>
      <c r="G203" s="50"/>
      <c r="H203" s="50"/>
      <c r="I203" s="50"/>
      <c r="J203" s="52" t="s">
        <v>43</v>
      </c>
      <c r="K203" s="51">
        <f>K199-(K202*K198)</f>
        <v>623.67238000393741</v>
      </c>
    </row>
    <row r="204" spans="1:11" ht="15" x14ac:dyDescent="0.25">
      <c r="A204" s="48"/>
      <c r="B204" s="49"/>
      <c r="C204" s="50"/>
      <c r="D204" s="50"/>
      <c r="E204" s="50"/>
      <c r="F204" s="50"/>
      <c r="G204" s="50"/>
      <c r="H204" s="50"/>
      <c r="I204" s="50"/>
      <c r="J204" s="52" t="s">
        <v>44</v>
      </c>
      <c r="K204" s="59">
        <v>143.80000000000001</v>
      </c>
    </row>
    <row r="205" spans="1:11" ht="15" x14ac:dyDescent="0.25">
      <c r="A205" s="48"/>
      <c r="B205" s="49"/>
      <c r="C205" s="50"/>
      <c r="D205" s="50"/>
      <c r="E205" s="50"/>
      <c r="F205" s="50"/>
      <c r="G205" s="50"/>
      <c r="H205" s="50"/>
      <c r="I205" s="50"/>
      <c r="J205" s="52" t="s">
        <v>65</v>
      </c>
      <c r="K205" s="53">
        <f>K203+(K202*K204)</f>
        <v>536.21015219499952</v>
      </c>
    </row>
    <row r="206" spans="1:11" ht="15" x14ac:dyDescent="0.25">
      <c r="A206" s="48"/>
      <c r="B206" s="49"/>
      <c r="C206" s="50"/>
      <c r="D206" s="50"/>
      <c r="E206" s="50"/>
      <c r="F206" s="50"/>
      <c r="G206" s="50"/>
      <c r="H206" s="50"/>
      <c r="I206" s="50"/>
      <c r="J206" s="52" t="s">
        <v>66</v>
      </c>
      <c r="K206" s="51">
        <f>136.8+(136.3*K194)+(0.019*K205)</f>
        <v>252.28900882728135</v>
      </c>
    </row>
    <row r="207" spans="1:11" ht="15" x14ac:dyDescent="0.25">
      <c r="A207" s="48"/>
      <c r="B207" s="49"/>
      <c r="C207" s="50"/>
      <c r="D207" s="50"/>
      <c r="E207" s="50"/>
      <c r="F207" s="50"/>
      <c r="G207" s="50"/>
      <c r="H207" s="50"/>
      <c r="I207" s="50"/>
      <c r="J207" s="50"/>
      <c r="K207" s="51"/>
    </row>
    <row r="208" spans="1:11" ht="27.75" customHeight="1" thickBot="1" x14ac:dyDescent="0.3">
      <c r="A208" s="55"/>
      <c r="B208" s="56"/>
      <c r="C208" s="57"/>
      <c r="D208" s="57"/>
      <c r="E208" s="57"/>
      <c r="F208" s="57"/>
      <c r="G208" s="57"/>
      <c r="H208" s="57"/>
      <c r="I208" s="57"/>
      <c r="J208" s="57"/>
      <c r="K208" s="58"/>
    </row>
    <row r="209" spans="1:11" x14ac:dyDescent="0.2">
      <c r="A209" s="119" t="s">
        <v>59</v>
      </c>
      <c r="B209" s="120"/>
      <c r="C209" s="120"/>
      <c r="D209" s="120"/>
      <c r="E209" s="120"/>
      <c r="F209" s="120"/>
      <c r="G209" s="120"/>
      <c r="H209" s="120"/>
      <c r="I209" s="120"/>
      <c r="J209" s="120"/>
      <c r="K209" s="121"/>
    </row>
    <row r="210" spans="1:11" x14ac:dyDescent="0.2">
      <c r="A210" s="122"/>
      <c r="B210" s="123"/>
      <c r="C210" s="123"/>
      <c r="D210" s="123"/>
      <c r="E210" s="123"/>
      <c r="F210" s="123"/>
      <c r="G210" s="123"/>
      <c r="H210" s="123"/>
      <c r="I210" s="123"/>
      <c r="J210" s="123"/>
      <c r="K210" s="124"/>
    </row>
    <row r="211" spans="1:11" ht="15" customHeight="1" x14ac:dyDescent="0.2">
      <c r="A211" s="62"/>
      <c r="B211" s="63" t="s">
        <v>54</v>
      </c>
      <c r="C211" s="125" t="s">
        <v>63</v>
      </c>
      <c r="D211" s="125"/>
      <c r="E211" s="125"/>
      <c r="F211" s="125"/>
      <c r="G211" s="125"/>
      <c r="H211" s="125"/>
      <c r="I211" s="60"/>
      <c r="J211" s="60"/>
      <c r="K211" s="61"/>
    </row>
    <row r="212" spans="1:11" ht="15" x14ac:dyDescent="0.25">
      <c r="A212" s="48">
        <f>MULTIPLE_SHOT_DATA!Y1</f>
        <v>152.87120056152344</v>
      </c>
      <c r="B212" s="49">
        <f>MULTIPLE_SHOT_DATA!Z1/MULTIPLE_SHOT_DATA!Y1</f>
        <v>0.7607331467663988</v>
      </c>
      <c r="C212" s="50"/>
      <c r="D212" s="50"/>
      <c r="E212" s="50"/>
      <c r="F212" s="50"/>
      <c r="G212" s="50"/>
      <c r="H212" s="50"/>
      <c r="I212" s="50"/>
      <c r="J212" s="50"/>
      <c r="K212" s="51"/>
    </row>
    <row r="213" spans="1:11" ht="15" x14ac:dyDescent="0.25">
      <c r="A213" s="48">
        <f>MULTIPLE_SHOT_DATA!Y2</f>
        <v>148.79978942871094</v>
      </c>
      <c r="B213" s="49">
        <f>MULTIPLE_SHOT_DATA!Z2/MULTIPLE_SHOT_DATA!Y2</f>
        <v>0.76664530638266415</v>
      </c>
      <c r="C213" s="50"/>
      <c r="D213" s="50"/>
      <c r="E213" s="50"/>
      <c r="F213" s="50"/>
      <c r="G213" s="50"/>
      <c r="H213" s="50"/>
      <c r="I213" s="50"/>
      <c r="J213" s="52" t="s">
        <v>40</v>
      </c>
      <c r="K213" s="51">
        <f>SUM(A212:A215)/4</f>
        <v>146.2623405456543</v>
      </c>
    </row>
    <row r="214" spans="1:11" ht="15" x14ac:dyDescent="0.25">
      <c r="A214" s="48">
        <f>MULTIPLE_SHOT_DATA!Y3</f>
        <v>142.46202087402344</v>
      </c>
      <c r="B214" s="49">
        <f>MULTIPLE_SHOT_DATA!Z3/MULTIPLE_SHOT_DATA!Y3</f>
        <v>0.77680337080998429</v>
      </c>
      <c r="C214" s="50"/>
      <c r="D214" s="50"/>
      <c r="E214" s="50"/>
      <c r="F214" s="50"/>
      <c r="G214" s="50"/>
      <c r="H214" s="50"/>
      <c r="I214" s="50"/>
      <c r="J214" s="52" t="s">
        <v>41</v>
      </c>
      <c r="K214" s="51">
        <f>SUM(B212:B215)/4</f>
        <v>0.77063060314689946</v>
      </c>
    </row>
    <row r="215" spans="1:11" ht="15" x14ac:dyDescent="0.25">
      <c r="A215" s="48">
        <f>MULTIPLE_SHOT_DATA!Y4</f>
        <v>140.91635131835938</v>
      </c>
      <c r="B215" s="49">
        <f>MULTIPLE_SHOT_DATA!Z4/MULTIPLE_SHOT_DATA!Y4</f>
        <v>0.77834058862855104</v>
      </c>
      <c r="C215" s="50"/>
      <c r="D215" s="50"/>
      <c r="E215" s="50"/>
      <c r="F215" s="50"/>
      <c r="G215" s="50"/>
      <c r="H215" s="50"/>
      <c r="I215" s="50"/>
      <c r="J215" s="52" t="s">
        <v>50</v>
      </c>
      <c r="K215" s="51">
        <f>(A212-K213)*(B212-K214)+(A213-K213)*(B213-K214)+(A214-K213)*(B214-K214)+(A215-K213)*(B215-K214)</f>
        <v>-0.14019938026089557</v>
      </c>
    </row>
    <row r="216" spans="1:11" ht="15" x14ac:dyDescent="0.25">
      <c r="A216" s="48"/>
      <c r="B216" s="49"/>
      <c r="C216" s="50"/>
      <c r="D216" s="50"/>
      <c r="E216" s="50"/>
      <c r="F216" s="50"/>
      <c r="G216" s="50"/>
      <c r="H216" s="50"/>
      <c r="I216" s="50"/>
      <c r="J216" s="52" t="s">
        <v>51</v>
      </c>
      <c r="K216" s="51">
        <f>(A212-K213)^2+(A213-K213)^2+(A214-K213)^2+(A215-K213)^2</f>
        <v>93.137707968417089</v>
      </c>
    </row>
    <row r="217" spans="1:11" ht="15" x14ac:dyDescent="0.25">
      <c r="A217" s="48"/>
      <c r="B217" s="49"/>
      <c r="C217" s="50"/>
      <c r="D217" s="50"/>
      <c r="E217" s="50"/>
      <c r="F217" s="50"/>
      <c r="G217" s="50"/>
      <c r="H217" s="50"/>
      <c r="I217" s="50"/>
      <c r="J217" s="52" t="s">
        <v>42</v>
      </c>
      <c r="K217" s="51">
        <f>K215/K216</f>
        <v>-1.5052912866229974E-3</v>
      </c>
    </row>
    <row r="218" spans="1:11" ht="15" x14ac:dyDescent="0.25">
      <c r="A218" s="48"/>
      <c r="B218" s="49"/>
      <c r="C218" s="50"/>
      <c r="D218" s="50"/>
      <c r="E218" s="50"/>
      <c r="F218" s="50"/>
      <c r="G218" s="50"/>
      <c r="H218" s="50"/>
      <c r="I218" s="50"/>
      <c r="J218" s="52" t="s">
        <v>43</v>
      </c>
      <c r="K218" s="51">
        <f>K214-(K217*K213)</f>
        <v>0.99079802993135846</v>
      </c>
    </row>
    <row r="219" spans="1:11" ht="15" x14ac:dyDescent="0.25">
      <c r="A219" s="48"/>
      <c r="B219" s="49"/>
      <c r="C219" s="50"/>
      <c r="D219" s="50"/>
      <c r="E219" s="50"/>
      <c r="F219" s="50"/>
      <c r="G219" s="50"/>
      <c r="H219" s="50"/>
      <c r="I219" s="50"/>
      <c r="J219" s="52" t="s">
        <v>44</v>
      </c>
      <c r="K219" s="59">
        <v>143.80000000000001</v>
      </c>
    </row>
    <row r="220" spans="1:11" ht="15" x14ac:dyDescent="0.25">
      <c r="A220" s="48"/>
      <c r="B220" s="49"/>
      <c r="C220" s="50"/>
      <c r="D220" s="50"/>
      <c r="E220" s="50"/>
      <c r="F220" s="50"/>
      <c r="G220" s="50"/>
      <c r="H220" s="50"/>
      <c r="I220" s="50"/>
      <c r="J220" s="52" t="s">
        <v>45</v>
      </c>
      <c r="K220" s="53">
        <f>K218+(K217*K219)</f>
        <v>0.77433714291497147</v>
      </c>
    </row>
    <row r="221" spans="1:11" ht="15" x14ac:dyDescent="0.25">
      <c r="A221" s="48"/>
      <c r="B221" s="49"/>
      <c r="C221" s="50"/>
      <c r="D221" s="50"/>
      <c r="E221" s="50"/>
      <c r="F221" s="50"/>
      <c r="G221" s="50"/>
      <c r="H221" s="50"/>
      <c r="I221" s="50"/>
      <c r="J221" s="52"/>
      <c r="K221" s="54">
        <f>(PEARSON((A212:A215),(B212:B215)))^2</f>
        <v>0.99835249669501025</v>
      </c>
    </row>
    <row r="222" spans="1:11" ht="15" customHeight="1" x14ac:dyDescent="0.25">
      <c r="A222" s="62"/>
      <c r="B222" s="66"/>
      <c r="C222" s="125" t="s">
        <v>64</v>
      </c>
      <c r="D222" s="125"/>
      <c r="E222" s="125"/>
      <c r="F222" s="125"/>
      <c r="G222" s="125"/>
      <c r="H222" s="125"/>
      <c r="I222" s="50"/>
      <c r="J222" s="50"/>
      <c r="K222" s="51"/>
    </row>
    <row r="223" spans="1:11" ht="15" x14ac:dyDescent="0.25">
      <c r="A223" s="48">
        <f>MULTIPLE_SHOT_DATA!Y1</f>
        <v>152.87120056152344</v>
      </c>
      <c r="B223" s="49">
        <f>MULTIPLE_SHOT_DATA!AA1</f>
        <v>517</v>
      </c>
      <c r="C223" s="50"/>
      <c r="D223" s="50"/>
      <c r="E223" s="50"/>
      <c r="F223" s="50"/>
      <c r="G223" s="50"/>
      <c r="H223" s="50"/>
      <c r="I223" s="50"/>
      <c r="J223" s="50"/>
      <c r="K223" s="51"/>
    </row>
    <row r="224" spans="1:11" ht="15" x14ac:dyDescent="0.25">
      <c r="A224" s="48">
        <f>MULTIPLE_SHOT_DATA!Y2</f>
        <v>148.79978942871094</v>
      </c>
      <c r="B224" s="49">
        <f>MULTIPLE_SHOT_DATA!AA2</f>
        <v>521</v>
      </c>
      <c r="C224" s="50"/>
      <c r="D224" s="50"/>
      <c r="E224" s="50"/>
      <c r="F224" s="50"/>
      <c r="G224" s="50"/>
      <c r="H224" s="50"/>
      <c r="I224" s="50"/>
      <c r="J224" s="52" t="s">
        <v>40</v>
      </c>
      <c r="K224" s="51">
        <f>SUM(A223:A226)/4</f>
        <v>146.2623405456543</v>
      </c>
    </row>
    <row r="225" spans="1:11" ht="15" x14ac:dyDescent="0.25">
      <c r="A225" s="48">
        <f>MULTIPLE_SHOT_DATA!Y3</f>
        <v>142.46202087402344</v>
      </c>
      <c r="B225" s="49">
        <f>MULTIPLE_SHOT_DATA!AA3</f>
        <v>525</v>
      </c>
      <c r="C225" s="50"/>
      <c r="D225" s="50"/>
      <c r="E225" s="50"/>
      <c r="F225" s="50"/>
      <c r="G225" s="50"/>
      <c r="H225" s="50"/>
      <c r="I225" s="50"/>
      <c r="J225" s="52" t="s">
        <v>41</v>
      </c>
      <c r="K225" s="51">
        <f>SUM(B223:B226)/4</f>
        <v>522.25</v>
      </c>
    </row>
    <row r="226" spans="1:11" ht="15" x14ac:dyDescent="0.25">
      <c r="A226" s="48">
        <f>MULTIPLE_SHOT_DATA!Y4</f>
        <v>140.91635131835938</v>
      </c>
      <c r="B226" s="49">
        <f>MULTIPLE_SHOT_DATA!AA4</f>
        <v>526</v>
      </c>
      <c r="C226" s="50"/>
      <c r="D226" s="50"/>
      <c r="E226" s="50"/>
      <c r="F226" s="50"/>
      <c r="G226" s="50"/>
      <c r="H226" s="50"/>
      <c r="I226" s="50"/>
      <c r="J226" s="52" t="s">
        <v>50</v>
      </c>
      <c r="K226" s="51">
        <f>(A223-K224)*(B223-K225)+(A224-K224)*(B224-K225)+(A225-K224)*(B225-K225)+(A226-K224)*(B226-K225)</f>
        <v>-68.366664886474609</v>
      </c>
    </row>
    <row r="227" spans="1:11" ht="15" x14ac:dyDescent="0.25">
      <c r="A227" s="48"/>
      <c r="B227" s="49"/>
      <c r="C227" s="50"/>
      <c r="D227" s="50"/>
      <c r="E227" s="50"/>
      <c r="F227" s="50"/>
      <c r="G227" s="50"/>
      <c r="H227" s="50"/>
      <c r="I227" s="50"/>
      <c r="J227" s="52" t="s">
        <v>51</v>
      </c>
      <c r="K227" s="51">
        <f>(A223-K224)^2+(A224-K224)^2+(A225-K224)^2+(A226-K224)^2</f>
        <v>93.137707968417089</v>
      </c>
    </row>
    <row r="228" spans="1:11" ht="15" x14ac:dyDescent="0.25">
      <c r="A228" s="48" t="s">
        <v>5</v>
      </c>
      <c r="B228" s="49">
        <f>MAX(B223:B226)-MIN(B223:B226)</f>
        <v>9</v>
      </c>
      <c r="C228" s="50"/>
      <c r="D228" s="50"/>
      <c r="E228" s="50"/>
      <c r="F228" s="50"/>
      <c r="G228" s="50"/>
      <c r="H228" s="50"/>
      <c r="I228" s="50"/>
      <c r="J228" s="52" t="s">
        <v>42</v>
      </c>
      <c r="K228" s="51">
        <f>K226/K227</f>
        <v>-0.7340385154169532</v>
      </c>
    </row>
    <row r="229" spans="1:11" ht="15" x14ac:dyDescent="0.25">
      <c r="A229" s="48"/>
      <c r="B229" s="49"/>
      <c r="C229" s="50"/>
      <c r="D229" s="50"/>
      <c r="E229" s="50"/>
      <c r="F229" s="50"/>
      <c r="G229" s="50"/>
      <c r="H229" s="50"/>
      <c r="I229" s="50"/>
      <c r="J229" s="52" t="s">
        <v>43</v>
      </c>
      <c r="K229" s="51">
        <f>K225-(K228*K224)</f>
        <v>629.61219131554094</v>
      </c>
    </row>
    <row r="230" spans="1:11" ht="15" x14ac:dyDescent="0.25">
      <c r="A230" s="48"/>
      <c r="B230" s="49"/>
      <c r="C230" s="50"/>
      <c r="D230" s="50"/>
      <c r="E230" s="50"/>
      <c r="F230" s="50"/>
      <c r="G230" s="50"/>
      <c r="H230" s="50"/>
      <c r="I230" s="50"/>
      <c r="J230" s="52" t="s">
        <v>44</v>
      </c>
      <c r="K230" s="59">
        <v>143.80000000000001</v>
      </c>
    </row>
    <row r="231" spans="1:11" ht="15" x14ac:dyDescent="0.25">
      <c r="A231" s="48"/>
      <c r="B231" s="49"/>
      <c r="C231" s="50"/>
      <c r="D231" s="50"/>
      <c r="E231" s="50"/>
      <c r="F231" s="50"/>
      <c r="G231" s="50"/>
      <c r="H231" s="50"/>
      <c r="I231" s="50"/>
      <c r="J231" s="52" t="s">
        <v>65</v>
      </c>
      <c r="K231" s="53">
        <f>K229+(K228*K230)</f>
        <v>524.05745279858309</v>
      </c>
    </row>
    <row r="232" spans="1:11" ht="15" x14ac:dyDescent="0.25">
      <c r="A232" s="48"/>
      <c r="B232" s="49"/>
      <c r="C232" s="50"/>
      <c r="D232" s="50"/>
      <c r="E232" s="50"/>
      <c r="F232" s="50"/>
      <c r="G232" s="50"/>
      <c r="H232" s="50"/>
      <c r="I232" s="50"/>
      <c r="J232" s="52" t="s">
        <v>66</v>
      </c>
      <c r="K232" s="51">
        <f>136.8+(136.3*K220)+(0.019*K231)</f>
        <v>252.2992441824837</v>
      </c>
    </row>
    <row r="233" spans="1:11" ht="15" x14ac:dyDescent="0.25">
      <c r="A233" s="48"/>
      <c r="B233" s="49"/>
      <c r="C233" s="50"/>
      <c r="D233" s="50"/>
      <c r="E233" s="50"/>
      <c r="F233" s="50"/>
      <c r="G233" s="50"/>
      <c r="H233" s="50"/>
      <c r="I233" s="50"/>
      <c r="J233" s="50"/>
      <c r="K233" s="51"/>
    </row>
    <row r="234" spans="1:11" ht="15.75" thickBot="1" x14ac:dyDescent="0.3">
      <c r="A234" s="55"/>
      <c r="B234" s="56"/>
      <c r="C234" s="57"/>
      <c r="D234" s="57"/>
      <c r="E234" s="57"/>
      <c r="F234" s="57"/>
      <c r="G234" s="57"/>
      <c r="H234" s="57"/>
      <c r="I234" s="57"/>
      <c r="J234" s="57"/>
      <c r="K234" s="58"/>
    </row>
    <row r="235" spans="1:11" x14ac:dyDescent="0.2">
      <c r="A235" s="119" t="s">
        <v>60</v>
      </c>
      <c r="B235" s="120"/>
      <c r="C235" s="120"/>
      <c r="D235" s="120"/>
      <c r="E235" s="120"/>
      <c r="F235" s="120"/>
      <c r="G235" s="120"/>
      <c r="H235" s="120"/>
      <c r="I235" s="120"/>
      <c r="J235" s="120"/>
      <c r="K235" s="121"/>
    </row>
    <row r="236" spans="1:11" x14ac:dyDescent="0.2">
      <c r="A236" s="122"/>
      <c r="B236" s="123"/>
      <c r="C236" s="123"/>
      <c r="D236" s="123"/>
      <c r="E236" s="123"/>
      <c r="F236" s="123"/>
      <c r="G236" s="123"/>
      <c r="H236" s="123"/>
      <c r="I236" s="123"/>
      <c r="J236" s="123"/>
      <c r="K236" s="124"/>
    </row>
    <row r="237" spans="1:11" ht="15" customHeight="1" x14ac:dyDescent="0.2">
      <c r="A237" s="62"/>
      <c r="B237" s="63" t="s">
        <v>54</v>
      </c>
      <c r="C237" s="125" t="s">
        <v>63</v>
      </c>
      <c r="D237" s="125"/>
      <c r="E237" s="125"/>
      <c r="F237" s="125"/>
      <c r="G237" s="125"/>
      <c r="H237" s="125"/>
      <c r="I237" s="60"/>
      <c r="J237" s="60"/>
      <c r="K237" s="61"/>
    </row>
    <row r="238" spans="1:11" ht="15" x14ac:dyDescent="0.25">
      <c r="A238" s="48">
        <f>MULTIPLE_SHOT_DATA!AB1</f>
        <v>152.63787841796875</v>
      </c>
      <c r="B238" s="49">
        <f>MULTIPLE_SHOT_DATA!AC1/MULTIPLE_SHOT_DATA!AB1</f>
        <v>0.75871664442728559</v>
      </c>
      <c r="C238" s="50"/>
      <c r="D238" s="50"/>
      <c r="E238" s="50"/>
      <c r="F238" s="50"/>
      <c r="G238" s="50"/>
      <c r="H238" s="50"/>
      <c r="I238" s="50"/>
      <c r="J238" s="50"/>
      <c r="K238" s="51"/>
    </row>
    <row r="239" spans="1:11" ht="15" x14ac:dyDescent="0.25">
      <c r="A239" s="48">
        <f>MULTIPLE_SHOT_DATA!AB2</f>
        <v>149.55636596679688</v>
      </c>
      <c r="B239" s="49">
        <f>MULTIPLE_SHOT_DATA!AC2/MULTIPLE_SHOT_DATA!AB2</f>
        <v>0.76355168678197216</v>
      </c>
      <c r="C239" s="50"/>
      <c r="D239" s="50"/>
      <c r="E239" s="50"/>
      <c r="F239" s="50"/>
      <c r="G239" s="50"/>
      <c r="H239" s="50"/>
      <c r="I239" s="50"/>
      <c r="J239" s="52" t="s">
        <v>40</v>
      </c>
      <c r="K239" s="51">
        <f>SUM(A238:A241)/4</f>
        <v>145.90977096557617</v>
      </c>
    </row>
    <row r="240" spans="1:11" ht="15" x14ac:dyDescent="0.25">
      <c r="A240" s="48">
        <f>MULTIPLE_SHOT_DATA!AB3</f>
        <v>142.1380615234375</v>
      </c>
      <c r="B240" s="49">
        <f>MULTIPLE_SHOT_DATA!AC3/MULTIPLE_SHOT_DATA!AB3</f>
        <v>0.77531046165605311</v>
      </c>
      <c r="C240" s="50"/>
      <c r="D240" s="50"/>
      <c r="E240" s="50"/>
      <c r="F240" s="50"/>
      <c r="G240" s="50"/>
      <c r="H240" s="50"/>
      <c r="I240" s="50"/>
      <c r="J240" s="52" t="s">
        <v>41</v>
      </c>
      <c r="K240" s="51">
        <f>SUM(B238:B241)/4</f>
        <v>0.76968448280622637</v>
      </c>
    </row>
    <row r="241" spans="1:11" ht="15" x14ac:dyDescent="0.25">
      <c r="A241" s="48">
        <f>MULTIPLE_SHOT_DATA!AB4</f>
        <v>139.30677795410156</v>
      </c>
      <c r="B241" s="49">
        <f>MULTIPLE_SHOT_DATA!AC4/MULTIPLE_SHOT_DATA!AB4</f>
        <v>0.78115913835959461</v>
      </c>
      <c r="C241" s="50"/>
      <c r="D241" s="50"/>
      <c r="E241" s="50"/>
      <c r="F241" s="50"/>
      <c r="G241" s="50"/>
      <c r="H241" s="50"/>
      <c r="I241" s="50"/>
      <c r="J241" s="52" t="s">
        <v>50</v>
      </c>
      <c r="K241" s="51">
        <f>(A238-K239)*(B238-K240)+(A239-K239)*(B239-K240)+(A240-K239)*(B240-K240)+(A241-K239)*(B241-K240)</f>
        <v>-0.19314324643667313</v>
      </c>
    </row>
    <row r="242" spans="1:11" ht="15" x14ac:dyDescent="0.25">
      <c r="A242" s="48"/>
      <c r="B242" s="49"/>
      <c r="C242" s="50"/>
      <c r="D242" s="50"/>
      <c r="E242" s="50"/>
      <c r="F242" s="50"/>
      <c r="G242" s="50"/>
      <c r="H242" s="50"/>
      <c r="I242" s="50"/>
      <c r="J242" s="52" t="s">
        <v>51</v>
      </c>
      <c r="K242" s="51">
        <f>(A238-K239)^2+(A239-K239)^2+(A240-K239)^2+(A241-K239)^2</f>
        <v>116.39039381936891</v>
      </c>
    </row>
    <row r="243" spans="1:11" ht="15" x14ac:dyDescent="0.25">
      <c r="A243" s="48"/>
      <c r="B243" s="49"/>
      <c r="C243" s="50"/>
      <c r="D243" s="50"/>
      <c r="E243" s="50"/>
      <c r="F243" s="50"/>
      <c r="G243" s="50"/>
      <c r="H243" s="50"/>
      <c r="I243" s="50"/>
      <c r="J243" s="52" t="s">
        <v>42</v>
      </c>
      <c r="K243" s="51">
        <f>K241/K242</f>
        <v>-1.6594431902723877E-3</v>
      </c>
    </row>
    <row r="244" spans="1:11" ht="15" x14ac:dyDescent="0.25">
      <c r="A244" s="48"/>
      <c r="B244" s="49"/>
      <c r="C244" s="50"/>
      <c r="D244" s="50"/>
      <c r="E244" s="50"/>
      <c r="F244" s="50"/>
      <c r="G244" s="50"/>
      <c r="H244" s="50"/>
      <c r="I244" s="50"/>
      <c r="J244" s="52" t="s">
        <v>43</v>
      </c>
      <c r="K244" s="51">
        <f>K240-(K243*K239)</f>
        <v>1.0118134586292555</v>
      </c>
    </row>
    <row r="245" spans="1:11" ht="15" x14ac:dyDescent="0.25">
      <c r="A245" s="48"/>
      <c r="B245" s="49"/>
      <c r="C245" s="50"/>
      <c r="D245" s="50"/>
      <c r="E245" s="50"/>
      <c r="F245" s="50"/>
      <c r="G245" s="50"/>
      <c r="H245" s="50"/>
      <c r="I245" s="50"/>
      <c r="J245" s="52" t="s">
        <v>44</v>
      </c>
      <c r="K245" s="59">
        <v>143.80000000000001</v>
      </c>
    </row>
    <row r="246" spans="1:11" ht="15" x14ac:dyDescent="0.25">
      <c r="A246" s="48"/>
      <c r="B246" s="49"/>
      <c r="C246" s="50"/>
      <c r="D246" s="50"/>
      <c r="E246" s="50"/>
      <c r="F246" s="50"/>
      <c r="G246" s="50"/>
      <c r="H246" s="50"/>
      <c r="I246" s="50"/>
      <c r="J246" s="52" t="s">
        <v>45</v>
      </c>
      <c r="K246" s="53">
        <f>K244+(K243*K245)</f>
        <v>0.77318552786808614</v>
      </c>
    </row>
    <row r="247" spans="1:11" ht="15" x14ac:dyDescent="0.25">
      <c r="A247" s="48"/>
      <c r="B247" s="49"/>
      <c r="C247" s="50"/>
      <c r="D247" s="50"/>
      <c r="E247" s="50"/>
      <c r="F247" s="50"/>
      <c r="G247" s="50"/>
      <c r="H247" s="50"/>
      <c r="I247" s="50"/>
      <c r="J247" s="52" t="s">
        <v>67</v>
      </c>
      <c r="K247" s="54">
        <f>(PEARSON((A238:A241),(B238:B241)))^2</f>
        <v>0.99777794072254844</v>
      </c>
    </row>
    <row r="248" spans="1:11" ht="15" customHeight="1" x14ac:dyDescent="0.25">
      <c r="A248" s="62"/>
      <c r="B248" s="66"/>
      <c r="C248" s="125" t="s">
        <v>64</v>
      </c>
      <c r="D248" s="125"/>
      <c r="E248" s="125"/>
      <c r="F248" s="125"/>
      <c r="G248" s="125"/>
      <c r="H248" s="125"/>
      <c r="I248" s="50"/>
      <c r="J248" s="50"/>
      <c r="K248" s="51"/>
    </row>
    <row r="249" spans="1:11" ht="15" x14ac:dyDescent="0.25">
      <c r="A249" s="48">
        <f>MULTIPLE_SHOT_DATA!AB1</f>
        <v>152.63787841796875</v>
      </c>
      <c r="B249" s="49">
        <f>MULTIPLE_SHOT_DATA!AD1</f>
        <v>530</v>
      </c>
      <c r="C249" s="50"/>
      <c r="D249" s="50"/>
      <c r="E249" s="50"/>
      <c r="F249" s="50"/>
      <c r="G249" s="50"/>
      <c r="H249" s="50"/>
      <c r="I249" s="50"/>
      <c r="J249" s="50"/>
      <c r="K249" s="51"/>
    </row>
    <row r="250" spans="1:11" ht="15" x14ac:dyDescent="0.25">
      <c r="A250" s="48">
        <f>MULTIPLE_SHOT_DATA!AB2</f>
        <v>149.55636596679688</v>
      </c>
      <c r="B250" s="49">
        <f>MULTIPLE_SHOT_DATA!AD2</f>
        <v>536</v>
      </c>
      <c r="C250" s="50"/>
      <c r="D250" s="50"/>
      <c r="E250" s="50"/>
      <c r="F250" s="50"/>
      <c r="G250" s="50"/>
      <c r="H250" s="50"/>
      <c r="I250" s="50"/>
      <c r="J250" s="52" t="s">
        <v>40</v>
      </c>
      <c r="K250" s="51">
        <f>SUM(A249:A252)/4</f>
        <v>145.90977096557617</v>
      </c>
    </row>
    <row r="251" spans="1:11" ht="15" x14ac:dyDescent="0.25">
      <c r="A251" s="48">
        <f>MULTIPLE_SHOT_DATA!AB3</f>
        <v>142.1380615234375</v>
      </c>
      <c r="B251" s="49">
        <f>MULTIPLE_SHOT_DATA!AD3</f>
        <v>538</v>
      </c>
      <c r="C251" s="50"/>
      <c r="D251" s="50"/>
      <c r="E251" s="50"/>
      <c r="F251" s="50"/>
      <c r="G251" s="50"/>
      <c r="H251" s="50"/>
      <c r="I251" s="50"/>
      <c r="J251" s="52" t="s">
        <v>41</v>
      </c>
      <c r="K251" s="51">
        <f>SUM(B249:B252)/4</f>
        <v>536.25</v>
      </c>
    </row>
    <row r="252" spans="1:11" ht="15" x14ac:dyDescent="0.25">
      <c r="A252" s="48">
        <f>MULTIPLE_SHOT_DATA!AB4</f>
        <v>139.30677795410156</v>
      </c>
      <c r="B252" s="49">
        <f>MULTIPLE_SHOT_DATA!AD4</f>
        <v>541</v>
      </c>
      <c r="C252" s="50"/>
      <c r="D252" s="50"/>
      <c r="E252" s="50"/>
      <c r="F252" s="50"/>
      <c r="G252" s="50"/>
      <c r="H252" s="50"/>
      <c r="I252" s="50"/>
      <c r="J252" s="52" t="s">
        <v>50</v>
      </c>
      <c r="K252" s="51">
        <f>(A249-K250)*(B249-K251)+(A250-K250)*(B250-K251)+(A251-K250)*(B251-K251)+(A252-K250)*(B252-K251)</f>
        <v>-80.927028656005859</v>
      </c>
    </row>
    <row r="253" spans="1:11" ht="15" x14ac:dyDescent="0.25">
      <c r="A253" s="48"/>
      <c r="B253" s="49"/>
      <c r="C253" s="50"/>
      <c r="D253" s="50"/>
      <c r="E253" s="50"/>
      <c r="F253" s="50"/>
      <c r="G253" s="50"/>
      <c r="H253" s="50"/>
      <c r="I253" s="50"/>
      <c r="J253" s="52" t="s">
        <v>51</v>
      </c>
      <c r="K253" s="51">
        <f>(A249-K250)^2+(A250-K250)^2+(A251-K250)^2+(A252-K250)^2</f>
        <v>116.39039381936891</v>
      </c>
    </row>
    <row r="254" spans="1:11" ht="15" x14ac:dyDescent="0.25">
      <c r="A254" s="48" t="s">
        <v>5</v>
      </c>
      <c r="B254" s="49">
        <f>MAX(B249:B252)-MIN(B249:B252)</f>
        <v>11</v>
      </c>
      <c r="C254" s="50"/>
      <c r="D254" s="50"/>
      <c r="E254" s="50"/>
      <c r="F254" s="50"/>
      <c r="G254" s="50"/>
      <c r="H254" s="50"/>
      <c r="I254" s="50"/>
      <c r="J254" s="52" t="s">
        <v>42</v>
      </c>
      <c r="K254" s="51">
        <f>K252/K253</f>
        <v>-0.69530676888678522</v>
      </c>
    </row>
    <row r="255" spans="1:11" ht="15" x14ac:dyDescent="0.25">
      <c r="A255" s="48"/>
      <c r="B255" s="49"/>
      <c r="C255" s="50"/>
      <c r="D255" s="50"/>
      <c r="E255" s="50"/>
      <c r="F255" s="50"/>
      <c r="G255" s="50"/>
      <c r="H255" s="50"/>
      <c r="I255" s="50"/>
      <c r="J255" s="52" t="s">
        <v>43</v>
      </c>
      <c r="K255" s="51">
        <f>K251-(K254*K250)</f>
        <v>637.70205139908558</v>
      </c>
    </row>
    <row r="256" spans="1:11" ht="15" x14ac:dyDescent="0.25">
      <c r="A256" s="48"/>
      <c r="B256" s="49"/>
      <c r="C256" s="50"/>
      <c r="D256" s="50"/>
      <c r="E256" s="50"/>
      <c r="F256" s="50"/>
      <c r="G256" s="50"/>
      <c r="H256" s="50"/>
      <c r="I256" s="50"/>
      <c r="J256" s="52" t="s">
        <v>44</v>
      </c>
      <c r="K256" s="59">
        <v>143.80000000000001</v>
      </c>
    </row>
    <row r="257" spans="1:14" ht="15" x14ac:dyDescent="0.25">
      <c r="A257" s="48"/>
      <c r="B257" s="49"/>
      <c r="C257" s="50"/>
      <c r="D257" s="50"/>
      <c r="E257" s="50"/>
      <c r="F257" s="50"/>
      <c r="G257" s="50"/>
      <c r="H257" s="50"/>
      <c r="I257" s="50"/>
      <c r="J257" s="52" t="s">
        <v>65</v>
      </c>
      <c r="K257" s="53">
        <f>K255+(K254*K256)</f>
        <v>537.71693803316589</v>
      </c>
      <c r="M257" s="71"/>
      <c r="N257" s="71"/>
    </row>
    <row r="258" spans="1:14" ht="15" x14ac:dyDescent="0.25">
      <c r="A258" s="48"/>
      <c r="B258" s="49"/>
      <c r="C258" s="50"/>
      <c r="D258" s="50"/>
      <c r="E258" s="50"/>
      <c r="F258" s="50"/>
      <c r="G258" s="50"/>
      <c r="H258" s="50"/>
      <c r="I258" s="50"/>
      <c r="J258" s="52" t="s">
        <v>66</v>
      </c>
      <c r="K258" s="51">
        <f>136.8+(136.3*K246)+(0.019*K257)</f>
        <v>252.4018092710503</v>
      </c>
      <c r="N258" s="71"/>
    </row>
    <row r="259" spans="1:14" ht="15" x14ac:dyDescent="0.25">
      <c r="A259" s="48"/>
      <c r="B259" s="49"/>
      <c r="C259" s="50"/>
      <c r="D259" s="50"/>
      <c r="E259" s="50"/>
      <c r="F259" s="50"/>
      <c r="G259" s="50"/>
      <c r="H259" s="50"/>
      <c r="I259" s="50"/>
      <c r="J259" s="50"/>
      <c r="K259" s="51"/>
      <c r="N259" s="71"/>
    </row>
    <row r="260" spans="1:14" ht="27.75" customHeight="1" thickBot="1" x14ac:dyDescent="0.3">
      <c r="A260" s="55"/>
      <c r="B260" s="56"/>
      <c r="C260" s="57"/>
      <c r="D260" s="57"/>
      <c r="E260" s="57"/>
      <c r="F260" s="57"/>
      <c r="G260" s="57"/>
      <c r="H260" s="57"/>
      <c r="I260" s="57"/>
      <c r="J260" s="57"/>
      <c r="K260" s="58"/>
    </row>
    <row r="261" spans="1:14" x14ac:dyDescent="0.2">
      <c r="A261" s="119" t="s">
        <v>61</v>
      </c>
      <c r="B261" s="120"/>
      <c r="C261" s="120"/>
      <c r="D261" s="120"/>
      <c r="E261" s="120"/>
      <c r="F261" s="120"/>
      <c r="G261" s="120"/>
      <c r="H261" s="120"/>
      <c r="I261" s="120"/>
      <c r="J261" s="120"/>
      <c r="K261" s="121"/>
    </row>
    <row r="262" spans="1:14" x14ac:dyDescent="0.2">
      <c r="A262" s="122"/>
      <c r="B262" s="123"/>
      <c r="C262" s="123"/>
      <c r="D262" s="123"/>
      <c r="E262" s="123"/>
      <c r="F262" s="123"/>
      <c r="G262" s="123"/>
      <c r="H262" s="123"/>
      <c r="I262" s="123"/>
      <c r="J262" s="123"/>
      <c r="K262" s="124"/>
    </row>
    <row r="263" spans="1:14" ht="15" customHeight="1" x14ac:dyDescent="0.2">
      <c r="A263" s="62"/>
      <c r="B263" s="63" t="s">
        <v>54</v>
      </c>
      <c r="C263" s="125" t="s">
        <v>63</v>
      </c>
      <c r="D263" s="125"/>
      <c r="E263" s="125"/>
      <c r="F263" s="125"/>
      <c r="G263" s="125"/>
      <c r="H263" s="125"/>
      <c r="I263" s="60"/>
      <c r="J263" s="60"/>
      <c r="K263" s="61"/>
    </row>
    <row r="264" spans="1:14" ht="15" x14ac:dyDescent="0.25">
      <c r="A264" s="48">
        <f>MULTIPLE_SHOT_DATA!AE1</f>
        <v>153.41055297851563</v>
      </c>
      <c r="B264" s="49">
        <f>MULTIPLE_SHOT_DATA!AF1/MULTIPLE_SHOT_DATA!AE1</f>
        <v>0.76455527668130041</v>
      </c>
      <c r="C264" s="50"/>
      <c r="D264" s="50"/>
      <c r="E264" s="50"/>
      <c r="F264" s="50"/>
      <c r="G264" s="50"/>
      <c r="H264" s="50"/>
      <c r="I264" s="50"/>
      <c r="J264" s="50"/>
      <c r="K264" s="51"/>
    </row>
    <row r="265" spans="1:14" ht="15" x14ac:dyDescent="0.25">
      <c r="A265" s="48">
        <f>MULTIPLE_SHOT_DATA!AE2</f>
        <v>150.5242919921875</v>
      </c>
      <c r="B265" s="49">
        <f>MULTIPLE_SHOT_DATA!AF2/MULTIPLE_SHOT_DATA!AE2</f>
        <v>0.77026308800214094</v>
      </c>
      <c r="C265" s="50"/>
      <c r="D265" s="50"/>
      <c r="E265" s="50"/>
      <c r="F265" s="50"/>
      <c r="G265" s="50"/>
      <c r="H265" s="50"/>
      <c r="I265" s="50"/>
      <c r="J265" s="52" t="s">
        <v>40</v>
      </c>
      <c r="K265" s="51">
        <f>SUM(A264:A267)/4</f>
        <v>147.38859558105469</v>
      </c>
    </row>
    <row r="266" spans="1:14" ht="15" x14ac:dyDescent="0.25">
      <c r="A266" s="48">
        <f>MULTIPLE_SHOT_DATA!AE3</f>
        <v>144.125</v>
      </c>
      <c r="B266" s="49">
        <f>MULTIPLE_SHOT_DATA!AF3/MULTIPLE_SHOT_DATA!AE3</f>
        <v>0.77853343265530139</v>
      </c>
      <c r="C266" s="50"/>
      <c r="D266" s="50"/>
      <c r="E266" s="50"/>
      <c r="F266" s="50"/>
      <c r="G266" s="50"/>
      <c r="H266" s="50"/>
      <c r="I266" s="50"/>
      <c r="J266" s="52" t="s">
        <v>41</v>
      </c>
      <c r="K266" s="51">
        <f>SUM(B264:B267)/4</f>
        <v>0.77304710235184748</v>
      </c>
    </row>
    <row r="267" spans="1:14" ht="15" x14ac:dyDescent="0.25">
      <c r="A267" s="48">
        <f>MULTIPLE_SHOT_DATA!AE4</f>
        <v>141.49453735351563</v>
      </c>
      <c r="B267" s="49">
        <f>MULTIPLE_SHOT_DATA!AF4/MULTIPLE_SHOT_DATA!AE4</f>
        <v>0.77883661206864763</v>
      </c>
      <c r="C267" s="50"/>
      <c r="D267" s="50"/>
      <c r="E267" s="50"/>
      <c r="F267" s="50"/>
      <c r="G267" s="50"/>
      <c r="H267" s="50"/>
      <c r="I267" s="50"/>
      <c r="J267" s="52" t="s">
        <v>50</v>
      </c>
      <c r="K267" s="51">
        <f>(A264-K265)*(B264-K266)+(A265-K265)*(B265-K266)+(A266-K265)*(B266-K266)+(A267-K265)*(B267-K266)</f>
        <v>-0.11189610693389852</v>
      </c>
    </row>
    <row r="268" spans="1:14" ht="15" x14ac:dyDescent="0.25">
      <c r="A268" s="48"/>
      <c r="B268" s="49"/>
      <c r="C268" s="50"/>
      <c r="D268" s="50"/>
      <c r="E268" s="50"/>
      <c r="F268" s="50"/>
      <c r="G268" s="50"/>
      <c r="H268" s="50"/>
      <c r="I268" s="50"/>
      <c r="J268" s="52" t="s">
        <v>51</v>
      </c>
      <c r="K268" s="51">
        <f>(A264-K265)^2+(A265-K265)^2+(A266-K265)^2+(A267-K265)^2</f>
        <v>91.487541385926306</v>
      </c>
    </row>
    <row r="269" spans="1:14" ht="15" x14ac:dyDescent="0.25">
      <c r="A269" s="48"/>
      <c r="B269" s="49"/>
      <c r="C269" s="50"/>
      <c r="D269" s="50"/>
      <c r="E269" s="50"/>
      <c r="F269" s="50"/>
      <c r="G269" s="50"/>
      <c r="H269" s="50"/>
      <c r="I269" s="50"/>
      <c r="J269" s="52" t="s">
        <v>42</v>
      </c>
      <c r="K269" s="51">
        <f>K267/K268</f>
        <v>-1.2230748060206556E-3</v>
      </c>
    </row>
    <row r="270" spans="1:14" ht="15" x14ac:dyDescent="0.25">
      <c r="A270" s="48"/>
      <c r="B270" s="49"/>
      <c r="C270" s="50"/>
      <c r="D270" s="50"/>
      <c r="E270" s="50"/>
      <c r="F270" s="50"/>
      <c r="G270" s="50"/>
      <c r="H270" s="50"/>
      <c r="I270" s="50"/>
      <c r="J270" s="52" t="s">
        <v>43</v>
      </c>
      <c r="K270" s="51">
        <f>K266-(K269*K265)</f>
        <v>0.95331438030180282</v>
      </c>
    </row>
    <row r="271" spans="1:14" ht="15" x14ac:dyDescent="0.25">
      <c r="A271" s="48"/>
      <c r="B271" s="49"/>
      <c r="C271" s="50"/>
      <c r="D271" s="50"/>
      <c r="E271" s="50"/>
      <c r="F271" s="50"/>
      <c r="G271" s="50"/>
      <c r="H271" s="50"/>
      <c r="I271" s="50"/>
      <c r="J271" s="52" t="s">
        <v>44</v>
      </c>
      <c r="K271" s="59">
        <v>143.80000000000001</v>
      </c>
    </row>
    <row r="272" spans="1:14" ht="15" x14ac:dyDescent="0.25">
      <c r="A272" s="48"/>
      <c r="B272" s="49"/>
      <c r="C272" s="50"/>
      <c r="D272" s="50"/>
      <c r="E272" s="50"/>
      <c r="F272" s="50"/>
      <c r="G272" s="50"/>
      <c r="H272" s="50"/>
      <c r="I272" s="50"/>
      <c r="J272" s="52" t="s">
        <v>45</v>
      </c>
      <c r="K272" s="53">
        <f>K270+(K269*K271)</f>
        <v>0.77743622319603256</v>
      </c>
    </row>
    <row r="273" spans="1:11" ht="15" x14ac:dyDescent="0.25">
      <c r="A273" s="48"/>
      <c r="B273" s="49"/>
      <c r="C273" s="50"/>
      <c r="D273" s="50"/>
      <c r="E273" s="50"/>
      <c r="F273" s="50"/>
      <c r="G273" s="50"/>
      <c r="H273" s="50"/>
      <c r="I273" s="50"/>
      <c r="J273" s="52" t="s">
        <v>67</v>
      </c>
      <c r="K273" s="54">
        <f>(PEARSON((A264:A267),(B264:B267)))^2</f>
        <v>0.95384186641588287</v>
      </c>
    </row>
    <row r="274" spans="1:11" ht="15" customHeight="1" x14ac:dyDescent="0.25">
      <c r="A274" s="62"/>
      <c r="B274" s="66"/>
      <c r="C274" s="125" t="s">
        <v>64</v>
      </c>
      <c r="D274" s="125"/>
      <c r="E274" s="125"/>
      <c r="F274" s="125"/>
      <c r="G274" s="125"/>
      <c r="H274" s="125"/>
      <c r="I274" s="50"/>
      <c r="J274" s="50"/>
      <c r="K274" s="51"/>
    </row>
    <row r="275" spans="1:11" ht="15" x14ac:dyDescent="0.25">
      <c r="A275" s="48">
        <f>MULTIPLE_SHOT_DATA!AE1</f>
        <v>153.41055297851563</v>
      </c>
      <c r="B275" s="49">
        <f>MULTIPLE_SHOT_DATA!AG1</f>
        <v>527</v>
      </c>
      <c r="C275" s="50"/>
      <c r="D275" s="50"/>
      <c r="E275" s="50"/>
      <c r="F275" s="50"/>
      <c r="G275" s="50"/>
      <c r="H275" s="50"/>
      <c r="I275" s="50"/>
      <c r="J275" s="50"/>
      <c r="K275" s="51"/>
    </row>
    <row r="276" spans="1:11" ht="15" x14ac:dyDescent="0.25">
      <c r="A276" s="48">
        <f>MULTIPLE_SHOT_DATA!AE2</f>
        <v>150.5242919921875</v>
      </c>
      <c r="B276" s="49">
        <f>MULTIPLE_SHOT_DATA!AG2</f>
        <v>529</v>
      </c>
      <c r="C276" s="50"/>
      <c r="D276" s="50"/>
      <c r="E276" s="50"/>
      <c r="F276" s="50"/>
      <c r="G276" s="50"/>
      <c r="H276" s="50"/>
      <c r="I276" s="50"/>
      <c r="J276" s="52" t="s">
        <v>40</v>
      </c>
      <c r="K276" s="51">
        <f>SUM(A275:A278)/4</f>
        <v>147.38859558105469</v>
      </c>
    </row>
    <row r="277" spans="1:11" ht="15" x14ac:dyDescent="0.25">
      <c r="A277" s="48">
        <f>MULTIPLE_SHOT_DATA!AE3</f>
        <v>144.125</v>
      </c>
      <c r="B277" s="49">
        <f>MULTIPLE_SHOT_DATA!AG3</f>
        <v>529</v>
      </c>
      <c r="C277" s="50"/>
      <c r="D277" s="50"/>
      <c r="E277" s="50"/>
      <c r="F277" s="50"/>
      <c r="G277" s="50"/>
      <c r="H277" s="50"/>
      <c r="I277" s="50"/>
      <c r="J277" s="52" t="s">
        <v>41</v>
      </c>
      <c r="K277" s="51">
        <f>SUM(B275:B278)/4</f>
        <v>529.25</v>
      </c>
    </row>
    <row r="278" spans="1:11" ht="15" x14ac:dyDescent="0.25">
      <c r="A278" s="48">
        <f>MULTIPLE_SHOT_DATA!AE4</f>
        <v>141.49453735351563</v>
      </c>
      <c r="B278" s="49">
        <f>MULTIPLE_SHOT_DATA!AG4</f>
        <v>532</v>
      </c>
      <c r="C278" s="50"/>
      <c r="D278" s="50"/>
      <c r="E278" s="50"/>
      <c r="F278" s="50"/>
      <c r="G278" s="50"/>
      <c r="H278" s="50"/>
      <c r="I278" s="50"/>
      <c r="J278" s="52" t="s">
        <v>50</v>
      </c>
      <c r="K278" s="51">
        <f>(A275-K276)*(B275-K277)+(A276-K276)*(B276-K277)+(A277-K276)*(B277-K277)+(A278-K276)*(B278-K277)</f>
        <v>-29.726089477539063</v>
      </c>
    </row>
    <row r="279" spans="1:11" ht="15" x14ac:dyDescent="0.25">
      <c r="A279" s="48"/>
      <c r="B279" s="49"/>
      <c r="C279" s="50"/>
      <c r="D279" s="50"/>
      <c r="E279" s="50"/>
      <c r="F279" s="50"/>
      <c r="G279" s="50"/>
      <c r="H279" s="50"/>
      <c r="I279" s="50"/>
      <c r="J279" s="52" t="s">
        <v>51</v>
      </c>
      <c r="K279" s="51">
        <f>(A275-K276)^2+(A276-K276)^2+(A277-K276)^2+(A278-K276)^2</f>
        <v>91.487541385926306</v>
      </c>
    </row>
    <row r="280" spans="1:11" ht="15" x14ac:dyDescent="0.25">
      <c r="A280" s="48" t="s">
        <v>5</v>
      </c>
      <c r="B280" s="49">
        <f>MAX(B275:B278)-MIN(B275:B278)</f>
        <v>5</v>
      </c>
      <c r="C280" s="50"/>
      <c r="D280" s="50"/>
      <c r="E280" s="50"/>
      <c r="F280" s="50"/>
      <c r="G280" s="50"/>
      <c r="H280" s="50"/>
      <c r="I280" s="50"/>
      <c r="J280" s="52" t="s">
        <v>42</v>
      </c>
      <c r="K280" s="51">
        <f>K278/K279</f>
        <v>-0.32491953578842026</v>
      </c>
    </row>
    <row r="281" spans="1:11" ht="15" x14ac:dyDescent="0.25">
      <c r="A281" s="48"/>
      <c r="B281" s="49"/>
      <c r="C281" s="50"/>
      <c r="D281" s="50"/>
      <c r="E281" s="50"/>
      <c r="F281" s="50"/>
      <c r="G281" s="50"/>
      <c r="H281" s="50"/>
      <c r="I281" s="50"/>
      <c r="J281" s="52" t="s">
        <v>43</v>
      </c>
      <c r="K281" s="51">
        <f>K277-(K280*K276)</f>
        <v>577.13943405670352</v>
      </c>
    </row>
    <row r="282" spans="1:11" ht="15" x14ac:dyDescent="0.25">
      <c r="A282" s="48"/>
      <c r="B282" s="49"/>
      <c r="C282" s="50"/>
      <c r="D282" s="50"/>
      <c r="E282" s="50"/>
      <c r="F282" s="50"/>
      <c r="G282" s="50"/>
      <c r="H282" s="50"/>
      <c r="I282" s="50"/>
      <c r="J282" s="52" t="s">
        <v>44</v>
      </c>
      <c r="K282" s="59">
        <v>143.80000000000001</v>
      </c>
    </row>
    <row r="283" spans="1:11" ht="15" x14ac:dyDescent="0.25">
      <c r="A283" s="48"/>
      <c r="B283" s="49"/>
      <c r="C283" s="50"/>
      <c r="D283" s="50"/>
      <c r="E283" s="50"/>
      <c r="F283" s="50"/>
      <c r="G283" s="50"/>
      <c r="H283" s="50"/>
      <c r="I283" s="50"/>
      <c r="J283" s="52" t="s">
        <v>65</v>
      </c>
      <c r="K283" s="53">
        <f>K281+(K280*K282)</f>
        <v>530.41600481032867</v>
      </c>
    </row>
    <row r="284" spans="1:11" ht="15" x14ac:dyDescent="0.25">
      <c r="A284" s="48"/>
      <c r="B284" s="49"/>
      <c r="C284" s="50"/>
      <c r="D284" s="50"/>
      <c r="E284" s="50"/>
      <c r="F284" s="50"/>
      <c r="G284" s="50"/>
      <c r="H284" s="50"/>
      <c r="I284" s="50"/>
      <c r="J284" s="52" t="s">
        <v>66</v>
      </c>
      <c r="K284" s="51">
        <f>136.8+(136.3*K272)+(0.019*K283)</f>
        <v>252.84246131301552</v>
      </c>
    </row>
    <row r="285" spans="1:11" ht="15" x14ac:dyDescent="0.25">
      <c r="A285" s="48"/>
      <c r="B285" s="49"/>
      <c r="C285" s="50"/>
      <c r="D285" s="50"/>
      <c r="E285" s="50"/>
      <c r="F285" s="50"/>
      <c r="G285" s="50"/>
      <c r="H285" s="50"/>
      <c r="I285" s="50"/>
      <c r="J285" s="50"/>
      <c r="K285" s="51"/>
    </row>
    <row r="286" spans="1:11" ht="15.75" thickBot="1" x14ac:dyDescent="0.3">
      <c r="A286" s="55"/>
      <c r="B286" s="56"/>
      <c r="C286" s="57"/>
      <c r="D286" s="57"/>
      <c r="E286" s="57"/>
      <c r="F286" s="57"/>
      <c r="G286" s="57"/>
      <c r="H286" s="57"/>
      <c r="I286" s="57"/>
      <c r="J286" s="57"/>
      <c r="K286" s="58"/>
    </row>
    <row r="287" spans="1:11" x14ac:dyDescent="0.2">
      <c r="A287" s="119" t="s">
        <v>62</v>
      </c>
      <c r="B287" s="120"/>
      <c r="C287" s="120"/>
      <c r="D287" s="120"/>
      <c r="E287" s="120"/>
      <c r="F287" s="120"/>
      <c r="G287" s="120"/>
      <c r="H287" s="120"/>
      <c r="I287" s="120"/>
      <c r="J287" s="120"/>
      <c r="K287" s="121"/>
    </row>
    <row r="288" spans="1:11" x14ac:dyDescent="0.2">
      <c r="A288" s="122"/>
      <c r="B288" s="123"/>
      <c r="C288" s="123"/>
      <c r="D288" s="123"/>
      <c r="E288" s="123"/>
      <c r="F288" s="123"/>
      <c r="G288" s="123"/>
      <c r="H288" s="123"/>
      <c r="I288" s="123"/>
      <c r="J288" s="123"/>
      <c r="K288" s="124"/>
    </row>
    <row r="289" spans="1:13" ht="15" customHeight="1" x14ac:dyDescent="0.2">
      <c r="A289" s="62"/>
      <c r="B289" s="63" t="s">
        <v>54</v>
      </c>
      <c r="C289" s="125" t="s">
        <v>63</v>
      </c>
      <c r="D289" s="125"/>
      <c r="E289" s="125"/>
      <c r="F289" s="125"/>
      <c r="G289" s="125"/>
      <c r="H289" s="125"/>
      <c r="I289" s="60"/>
      <c r="J289" s="60"/>
      <c r="K289" s="61"/>
    </row>
    <row r="290" spans="1:13" ht="15" x14ac:dyDescent="0.25">
      <c r="A290" s="48">
        <f>MULTIPLE_SHOT_DATA!AH1</f>
        <v>153.31648254394531</v>
      </c>
      <c r="B290" s="49">
        <f>MULTIPLE_SHOT_DATA!AI1/MULTIPLE_SHOT_DATA!AH1</f>
        <v>0.76367955648573627</v>
      </c>
      <c r="C290" s="50"/>
      <c r="D290" s="50"/>
      <c r="E290" s="50"/>
      <c r="F290" s="50"/>
      <c r="G290" s="50"/>
      <c r="H290" s="50"/>
      <c r="I290" s="50"/>
      <c r="J290" s="50"/>
      <c r="K290" s="51"/>
    </row>
    <row r="291" spans="1:13" ht="15" x14ac:dyDescent="0.25">
      <c r="A291" s="48">
        <f>MULTIPLE_SHOT_DATA!AH2</f>
        <v>150.05001831054688</v>
      </c>
      <c r="B291" s="49">
        <f>MULTIPLE_SHOT_DATA!AI2/MULTIPLE_SHOT_DATA!AH2</f>
        <v>0.76806272281846122</v>
      </c>
      <c r="C291" s="50"/>
      <c r="D291" s="50"/>
      <c r="E291" s="50"/>
      <c r="F291" s="50"/>
      <c r="G291" s="50"/>
      <c r="H291" s="50"/>
      <c r="I291" s="50"/>
      <c r="J291" s="52" t="s">
        <v>40</v>
      </c>
      <c r="K291" s="51">
        <f>SUM(A290:A293)/4</f>
        <v>146.9854736328125</v>
      </c>
    </row>
    <row r="292" spans="1:13" ht="15" x14ac:dyDescent="0.25">
      <c r="A292" s="48">
        <f>MULTIPLE_SHOT_DATA!AH3</f>
        <v>143.89689636230469</v>
      </c>
      <c r="B292" s="49">
        <f>MULTIPLE_SHOT_DATA!AI3/MULTIPLE_SHOT_DATA!AH3</f>
        <v>0.77610669166942281</v>
      </c>
      <c r="C292" s="50"/>
      <c r="D292" s="50"/>
      <c r="E292" s="50"/>
      <c r="F292" s="50"/>
      <c r="G292" s="50"/>
      <c r="H292" s="50"/>
      <c r="I292" s="50"/>
      <c r="J292" s="52" t="s">
        <v>41</v>
      </c>
      <c r="K292" s="51">
        <f>SUM(B290:B293)/4</f>
        <v>0.77202627328907647</v>
      </c>
    </row>
    <row r="293" spans="1:13" ht="15" x14ac:dyDescent="0.25">
      <c r="A293" s="48">
        <f>MULTIPLE_SHOT_DATA!AH4</f>
        <v>140.67849731445313</v>
      </c>
      <c r="B293" s="49">
        <f>MULTIPLE_SHOT_DATA!AI4/MULTIPLE_SHOT_DATA!AH4</f>
        <v>0.78025612218268525</v>
      </c>
      <c r="C293" s="50"/>
      <c r="D293" s="50"/>
      <c r="E293" s="50"/>
      <c r="F293" s="50"/>
      <c r="G293" s="50"/>
      <c r="H293" s="50"/>
      <c r="I293" s="50"/>
      <c r="J293" s="52" t="s">
        <v>50</v>
      </c>
      <c r="K293" s="51">
        <f>(A290-K291)*(B290-K292)+(A291-K291)*(B291-K292)+(A292-K291)*(B292-K292)+(A293-K291)*(B293-K292)</f>
        <v>-0.12949776549967107</v>
      </c>
    </row>
    <row r="294" spans="1:13" ht="15" x14ac:dyDescent="0.25">
      <c r="A294" s="48"/>
      <c r="B294" s="49"/>
      <c r="C294" s="50"/>
      <c r="D294" s="50"/>
      <c r="E294" s="50"/>
      <c r="F294" s="50"/>
      <c r="G294" s="50"/>
      <c r="H294" s="50"/>
      <c r="I294" s="50"/>
      <c r="J294" s="52" t="s">
        <v>51</v>
      </c>
      <c r="K294" s="51">
        <f>(A290-K291)^2+(A291-K291)^2+(A292-K291)^2+(A293-K291)^2</f>
        <v>98.79036775091663</v>
      </c>
    </row>
    <row r="295" spans="1:13" ht="15" x14ac:dyDescent="0.25">
      <c r="A295" s="48"/>
      <c r="B295" s="49"/>
      <c r="C295" s="50"/>
      <c r="D295" s="50"/>
      <c r="E295" s="50"/>
      <c r="F295" s="50"/>
      <c r="G295" s="50"/>
      <c r="H295" s="50"/>
      <c r="I295" s="50"/>
      <c r="J295" s="52" t="s">
        <v>42</v>
      </c>
      <c r="K295" s="51">
        <f>K293/K294</f>
        <v>-1.3108339248840333E-3</v>
      </c>
    </row>
    <row r="296" spans="1:13" ht="15" x14ac:dyDescent="0.25">
      <c r="A296" s="48"/>
      <c r="B296" s="49"/>
      <c r="C296" s="50"/>
      <c r="D296" s="50"/>
      <c r="E296" s="50"/>
      <c r="F296" s="50"/>
      <c r="G296" s="50"/>
      <c r="H296" s="50"/>
      <c r="I296" s="50"/>
      <c r="J296" s="52" t="s">
        <v>43</v>
      </c>
      <c r="K296" s="51">
        <f>K292-(K295*K291)</f>
        <v>0.96469981859211462</v>
      </c>
    </row>
    <row r="297" spans="1:13" ht="15" x14ac:dyDescent="0.25">
      <c r="A297" s="48"/>
      <c r="B297" s="49"/>
      <c r="C297" s="50"/>
      <c r="D297" s="50"/>
      <c r="E297" s="50"/>
      <c r="F297" s="50"/>
      <c r="G297" s="50"/>
      <c r="H297" s="50"/>
      <c r="I297" s="50"/>
      <c r="J297" s="52" t="s">
        <v>44</v>
      </c>
      <c r="K297" s="59">
        <v>143.80000000000001</v>
      </c>
    </row>
    <row r="298" spans="1:13" ht="15" x14ac:dyDescent="0.25">
      <c r="A298" s="48"/>
      <c r="B298" s="49"/>
      <c r="C298" s="50"/>
      <c r="D298" s="50"/>
      <c r="E298" s="50"/>
      <c r="F298" s="50"/>
      <c r="G298" s="50"/>
      <c r="H298" s="50"/>
      <c r="I298" s="50"/>
      <c r="J298" s="52" t="s">
        <v>45</v>
      </c>
      <c r="K298" s="53">
        <f>K296+(K295*K297)</f>
        <v>0.77620190019379065</v>
      </c>
    </row>
    <row r="299" spans="1:13" ht="15" x14ac:dyDescent="0.25">
      <c r="A299" s="48"/>
      <c r="B299" s="49"/>
      <c r="C299" s="50"/>
      <c r="D299" s="50"/>
      <c r="E299" s="50"/>
      <c r="F299" s="50"/>
      <c r="G299" s="50"/>
      <c r="H299" s="50"/>
      <c r="I299" s="50"/>
      <c r="J299" s="52" t="s">
        <v>67</v>
      </c>
      <c r="K299" s="54">
        <f>(PEARSON((A290:A293),(B290:B293)))^2</f>
        <v>0.99995536881343983</v>
      </c>
    </row>
    <row r="300" spans="1:13" ht="15" customHeight="1" x14ac:dyDescent="0.25">
      <c r="A300" s="62"/>
      <c r="B300" s="66"/>
      <c r="C300" s="125" t="s">
        <v>64</v>
      </c>
      <c r="D300" s="125"/>
      <c r="E300" s="125"/>
      <c r="F300" s="125"/>
      <c r="G300" s="125"/>
      <c r="H300" s="125"/>
      <c r="I300" s="50"/>
      <c r="J300" s="50"/>
      <c r="K300" s="51"/>
    </row>
    <row r="301" spans="1:13" ht="15" x14ac:dyDescent="0.25">
      <c r="A301" s="48">
        <f>MULTIPLE_SHOT_DATA!AH1</f>
        <v>153.31648254394531</v>
      </c>
      <c r="B301" s="49">
        <f>MULTIPLE_SHOT_DATA!AJ1</f>
        <v>471</v>
      </c>
      <c r="C301" s="50"/>
      <c r="D301" s="50"/>
      <c r="E301" s="50"/>
      <c r="F301" s="50"/>
      <c r="G301" s="50"/>
      <c r="H301" s="50"/>
      <c r="I301" s="50"/>
      <c r="J301" s="50"/>
      <c r="K301" s="51"/>
    </row>
    <row r="302" spans="1:13" ht="15" x14ac:dyDescent="0.25">
      <c r="A302" s="48">
        <f>MULTIPLE_SHOT_DATA!AH2</f>
        <v>150.05001831054688</v>
      </c>
      <c r="B302" s="49">
        <f>MULTIPLE_SHOT_DATA!AJ2</f>
        <v>473</v>
      </c>
      <c r="C302" s="50"/>
      <c r="D302" s="50"/>
      <c r="E302" s="50"/>
      <c r="F302" s="50"/>
      <c r="G302" s="50"/>
      <c r="H302" s="50"/>
      <c r="I302" s="50"/>
      <c r="J302" s="52" t="s">
        <v>40</v>
      </c>
      <c r="K302" s="51">
        <f>SUM(A301:A304)/4</f>
        <v>146.9854736328125</v>
      </c>
    </row>
    <row r="303" spans="1:13" ht="15" x14ac:dyDescent="0.25">
      <c r="A303" s="48">
        <f>MULTIPLE_SHOT_DATA!AH3</f>
        <v>143.89689636230469</v>
      </c>
      <c r="B303" s="49">
        <f>MULTIPLE_SHOT_DATA!AJ3</f>
        <v>474</v>
      </c>
      <c r="C303" s="50"/>
      <c r="D303" s="50"/>
      <c r="E303" s="50"/>
      <c r="F303" s="50"/>
      <c r="G303" s="50"/>
      <c r="H303" s="50"/>
      <c r="I303" s="50"/>
      <c r="J303" s="52" t="s">
        <v>41</v>
      </c>
      <c r="K303" s="51">
        <f>SUM(B301:B304)/4</f>
        <v>473</v>
      </c>
    </row>
    <row r="304" spans="1:13" ht="15" x14ac:dyDescent="0.25">
      <c r="A304" s="48">
        <f>MULTIPLE_SHOT_DATA!AH4</f>
        <v>140.67849731445313</v>
      </c>
      <c r="B304" s="49">
        <f>MULTIPLE_SHOT_DATA!AJ4</f>
        <v>474</v>
      </c>
      <c r="C304" s="50"/>
      <c r="D304" s="50"/>
      <c r="E304" s="50"/>
      <c r="F304" s="50"/>
      <c r="G304" s="50"/>
      <c r="H304" s="50"/>
      <c r="I304" s="50"/>
      <c r="J304" s="52" t="s">
        <v>50</v>
      </c>
      <c r="K304" s="51">
        <f>(A301-K302)*(B301-K303)+(A302-K302)*(B302-K303)+(A303-K302)*(B303-K303)+(A304-K302)*(B304-K303)</f>
        <v>-22.057571411132813</v>
      </c>
      <c r="M304" s="71"/>
    </row>
    <row r="305" spans="1:13" ht="15" x14ac:dyDescent="0.25">
      <c r="A305" s="48"/>
      <c r="B305" s="49"/>
      <c r="C305" s="50"/>
      <c r="D305" s="50"/>
      <c r="E305" s="50"/>
      <c r="F305" s="50"/>
      <c r="G305" s="50"/>
      <c r="H305" s="50"/>
      <c r="I305" s="50"/>
      <c r="J305" s="52" t="s">
        <v>51</v>
      </c>
      <c r="K305" s="51">
        <f>(A301-K302)^2+(A302-K302)^2+(A303-K302)^2+(A304-K302)^2</f>
        <v>98.79036775091663</v>
      </c>
      <c r="M305" s="71"/>
    </row>
    <row r="306" spans="1:13" ht="15" x14ac:dyDescent="0.25">
      <c r="A306" s="48" t="s">
        <v>5</v>
      </c>
      <c r="B306" s="49">
        <f>MAX(B301:B304)-MIN(B301:B304)</f>
        <v>3</v>
      </c>
      <c r="C306" s="50"/>
      <c r="D306" s="50"/>
      <c r="E306" s="50"/>
      <c r="F306" s="50"/>
      <c r="G306" s="50"/>
      <c r="H306" s="50"/>
      <c r="I306" s="50"/>
      <c r="J306" s="52" t="s">
        <v>42</v>
      </c>
      <c r="K306" s="51">
        <f>K304/K305</f>
        <v>-0.22327653913332204</v>
      </c>
      <c r="M306" s="71"/>
    </row>
    <row r="307" spans="1:13" ht="15" x14ac:dyDescent="0.25">
      <c r="A307" s="48"/>
      <c r="B307" s="49"/>
      <c r="C307" s="50"/>
      <c r="D307" s="50"/>
      <c r="E307" s="50"/>
      <c r="F307" s="50"/>
      <c r="G307" s="50"/>
      <c r="H307" s="50"/>
      <c r="I307" s="50"/>
      <c r="J307" s="52" t="s">
        <v>43</v>
      </c>
      <c r="K307" s="51">
        <f>K303-(K306*K302)</f>
        <v>505.81840785560655</v>
      </c>
    </row>
    <row r="308" spans="1:13" ht="15" x14ac:dyDescent="0.25">
      <c r="A308" s="48"/>
      <c r="B308" s="49"/>
      <c r="C308" s="50"/>
      <c r="D308" s="50"/>
      <c r="E308" s="50"/>
      <c r="F308" s="50"/>
      <c r="G308" s="50"/>
      <c r="H308" s="50"/>
      <c r="I308" s="50"/>
      <c r="J308" s="52" t="s">
        <v>44</v>
      </c>
      <c r="K308" s="59">
        <v>143.80000000000001</v>
      </c>
    </row>
    <row r="309" spans="1:13" ht="15" x14ac:dyDescent="0.25">
      <c r="A309" s="48"/>
      <c r="B309" s="49"/>
      <c r="C309" s="50"/>
      <c r="D309" s="50"/>
      <c r="E309" s="50"/>
      <c r="F309" s="50"/>
      <c r="G309" s="50"/>
      <c r="H309" s="50"/>
      <c r="I309" s="50"/>
      <c r="J309" s="52" t="s">
        <v>65</v>
      </c>
      <c r="K309" s="53">
        <f>K307+(K306*K308)</f>
        <v>473.71124152823484</v>
      </c>
    </row>
    <row r="310" spans="1:13" ht="15" x14ac:dyDescent="0.25">
      <c r="A310" s="48"/>
      <c r="B310" s="49"/>
      <c r="C310" s="50"/>
      <c r="D310" s="50"/>
      <c r="E310" s="50"/>
      <c r="F310" s="50"/>
      <c r="G310" s="50"/>
      <c r="H310" s="50"/>
      <c r="I310" s="50"/>
      <c r="J310" s="52" t="s">
        <v>66</v>
      </c>
      <c r="K310" s="51">
        <f>136.8+(136.3*K298)+(0.019*K309)</f>
        <v>251.59683258545016</v>
      </c>
    </row>
    <row r="311" spans="1:13" ht="15" x14ac:dyDescent="0.25">
      <c r="A311" s="48"/>
      <c r="B311" s="49"/>
      <c r="C311" s="50"/>
      <c r="D311" s="50"/>
      <c r="E311" s="50"/>
      <c r="F311" s="50"/>
      <c r="G311" s="50"/>
      <c r="H311" s="50"/>
      <c r="I311" s="50"/>
      <c r="J311" s="50"/>
      <c r="K311" s="51"/>
    </row>
    <row r="312" spans="1:13" ht="15.75" thickBot="1" x14ac:dyDescent="0.3">
      <c r="A312" s="55"/>
      <c r="B312" s="56"/>
      <c r="C312" s="57"/>
      <c r="D312" s="57"/>
      <c r="E312" s="57"/>
      <c r="F312" s="57"/>
      <c r="G312" s="57"/>
      <c r="H312" s="57"/>
      <c r="I312" s="57"/>
      <c r="J312" s="57"/>
      <c r="K312" s="58"/>
    </row>
  </sheetData>
  <mergeCells count="36">
    <mergeCell ref="C300:H300"/>
    <mergeCell ref="A209:K210"/>
    <mergeCell ref="C211:H211"/>
    <mergeCell ref="C222:H222"/>
    <mergeCell ref="A235:K236"/>
    <mergeCell ref="C237:H237"/>
    <mergeCell ref="C248:H248"/>
    <mergeCell ref="A261:K262"/>
    <mergeCell ref="C263:H263"/>
    <mergeCell ref="C274:H274"/>
    <mergeCell ref="A287:K288"/>
    <mergeCell ref="C289:H289"/>
    <mergeCell ref="C196:H196"/>
    <mergeCell ref="A105:K106"/>
    <mergeCell ref="C107:H107"/>
    <mergeCell ref="C118:H118"/>
    <mergeCell ref="A131:K132"/>
    <mergeCell ref="C133:H133"/>
    <mergeCell ref="C144:H144"/>
    <mergeCell ref="A157:K158"/>
    <mergeCell ref="C159:H159"/>
    <mergeCell ref="C170:H170"/>
    <mergeCell ref="A183:K184"/>
    <mergeCell ref="C185:H185"/>
    <mergeCell ref="C92:H92"/>
    <mergeCell ref="C3:H3"/>
    <mergeCell ref="C29:H29"/>
    <mergeCell ref="C55:H55"/>
    <mergeCell ref="C14:H14"/>
    <mergeCell ref="C40:H40"/>
    <mergeCell ref="C66:H66"/>
    <mergeCell ref="A1:K2"/>
    <mergeCell ref="A27:K28"/>
    <mergeCell ref="A53:K54"/>
    <mergeCell ref="A79:K80"/>
    <mergeCell ref="C81:H81"/>
  </mergeCells>
  <pageMargins left="0.7" right="0.7" top="0.75" bottom="0.75" header="0.3" footer="0.3"/>
  <pageSetup scale="51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O109"/>
  <sheetViews>
    <sheetView zoomScale="85" zoomScaleNormal="29" workbookViewId="0">
      <selection activeCell="S11" sqref="S11"/>
    </sheetView>
  </sheetViews>
  <sheetFormatPr defaultRowHeight="12.75" x14ac:dyDescent="0.2"/>
  <cols>
    <col min="1" max="2" width="12.28515625" customWidth="1"/>
    <col min="3" max="3" width="4.140625" bestFit="1" customWidth="1"/>
    <col min="4" max="5" width="12.28515625" customWidth="1"/>
    <col min="6" max="6" width="4.140625" bestFit="1" customWidth="1"/>
    <col min="7" max="8" width="12.28515625" customWidth="1"/>
    <col min="9" max="9" width="4.140625" bestFit="1" customWidth="1"/>
    <col min="10" max="11" width="12.28515625" customWidth="1"/>
    <col min="12" max="12" width="4.140625" bestFit="1" customWidth="1"/>
    <col min="13" max="14" width="12.28515625" customWidth="1"/>
    <col min="15" max="15" width="4.140625" bestFit="1" customWidth="1"/>
    <col min="16" max="17" width="12.28515625" customWidth="1"/>
    <col min="18" max="18" width="4.140625" bestFit="1" customWidth="1"/>
    <col min="19" max="20" width="12.28515625" customWidth="1"/>
    <col min="21" max="21" width="4.140625" bestFit="1" customWidth="1"/>
    <col min="22" max="23" width="12.28515625" customWidth="1"/>
    <col min="24" max="24" width="4.140625" bestFit="1" customWidth="1"/>
    <col min="25" max="26" width="12.28515625" customWidth="1"/>
    <col min="27" max="27" width="4.140625" bestFit="1" customWidth="1"/>
    <col min="28" max="29" width="12.28515625" customWidth="1"/>
    <col min="30" max="30" width="4.140625" bestFit="1" customWidth="1"/>
    <col min="31" max="32" width="12.28515625" customWidth="1"/>
    <col min="33" max="33" width="4.140625" bestFit="1" customWidth="1"/>
    <col min="34" max="35" width="12.28515625" customWidth="1"/>
    <col min="36" max="36" width="4.140625" bestFit="1" customWidth="1"/>
    <col min="37" max="37" width="14" customWidth="1"/>
    <col min="38" max="42" width="12.28515625" customWidth="1"/>
    <col min="43" max="43" width="11.140625" customWidth="1"/>
  </cols>
  <sheetData>
    <row r="1" spans="1:72" x14ac:dyDescent="0.2">
      <c r="A1">
        <v>153.17558288574219</v>
      </c>
      <c r="B1">
        <v>116.37547302246094</v>
      </c>
      <c r="C1">
        <v>522</v>
      </c>
      <c r="D1">
        <v>153.24598693847656</v>
      </c>
      <c r="E1">
        <v>116.03755950927734</v>
      </c>
      <c r="F1">
        <v>532</v>
      </c>
      <c r="G1">
        <v>152.70779418945313</v>
      </c>
      <c r="H1">
        <v>116.19951629638672</v>
      </c>
      <c r="I1">
        <v>523</v>
      </c>
      <c r="J1">
        <v>152.68449401855469</v>
      </c>
      <c r="K1">
        <v>115.98368072509766</v>
      </c>
      <c r="L1">
        <v>527</v>
      </c>
      <c r="M1">
        <v>151.48187255859375</v>
      </c>
      <c r="N1">
        <v>115.87606048583984</v>
      </c>
      <c r="O1">
        <v>525</v>
      </c>
      <c r="P1">
        <v>152.91795349121094</v>
      </c>
      <c r="Q1">
        <v>116.44328308105469</v>
      </c>
      <c r="R1">
        <v>513</v>
      </c>
      <c r="S1">
        <v>152.63787841796875</v>
      </c>
      <c r="T1">
        <v>116.26712036132813</v>
      </c>
      <c r="U1">
        <v>533</v>
      </c>
      <c r="V1">
        <v>152.26605224609375</v>
      </c>
      <c r="W1">
        <v>115.74182891845703</v>
      </c>
      <c r="X1">
        <v>530</v>
      </c>
      <c r="Y1">
        <v>152.87120056152344</v>
      </c>
      <c r="Z1">
        <v>116.294189453125</v>
      </c>
      <c r="AA1">
        <v>517</v>
      </c>
      <c r="AB1">
        <v>152.63787841796875</v>
      </c>
      <c r="AC1">
        <v>115.80889892578125</v>
      </c>
      <c r="AD1">
        <v>530</v>
      </c>
      <c r="AE1">
        <v>153.41055297851563</v>
      </c>
      <c r="AF1">
        <v>117.29084777832031</v>
      </c>
      <c r="AG1">
        <v>527</v>
      </c>
      <c r="AH1">
        <v>153.31648254394531</v>
      </c>
      <c r="AI1">
        <v>117.08466339111328</v>
      </c>
      <c r="AJ1">
        <v>471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</row>
    <row r="2" spans="1:72" x14ac:dyDescent="0.2">
      <c r="A2">
        <v>149.78034973144531</v>
      </c>
      <c r="B2">
        <v>114.75802612304688</v>
      </c>
      <c r="C2">
        <v>526</v>
      </c>
      <c r="D2">
        <v>149.5787353515625</v>
      </c>
      <c r="E2">
        <v>114.1287841796875</v>
      </c>
      <c r="F2">
        <v>532</v>
      </c>
      <c r="G2">
        <v>148.62287902832031</v>
      </c>
      <c r="H2">
        <v>114.44255065917969</v>
      </c>
      <c r="I2">
        <v>529</v>
      </c>
      <c r="J2">
        <v>148.97711181640625</v>
      </c>
      <c r="K2">
        <v>113.86862945556641</v>
      </c>
      <c r="L2">
        <v>527</v>
      </c>
      <c r="M2">
        <v>148.71127319335938</v>
      </c>
      <c r="N2">
        <v>114.25930786132813</v>
      </c>
      <c r="O2">
        <v>523</v>
      </c>
      <c r="P2">
        <v>148.97711181640625</v>
      </c>
      <c r="Q2">
        <v>114.27237701416016</v>
      </c>
      <c r="R2">
        <v>515</v>
      </c>
      <c r="S2">
        <v>147.43968200683594</v>
      </c>
      <c r="T2">
        <v>113.172119140625</v>
      </c>
      <c r="U2">
        <v>536</v>
      </c>
      <c r="V2">
        <v>148.71127319335938</v>
      </c>
      <c r="W2">
        <v>113.77786254882813</v>
      </c>
      <c r="X2">
        <v>535</v>
      </c>
      <c r="Y2">
        <v>148.79978942871094</v>
      </c>
      <c r="Z2">
        <v>114.07666015625</v>
      </c>
      <c r="AA2">
        <v>521</v>
      </c>
      <c r="AB2">
        <v>149.55636596679688</v>
      </c>
      <c r="AC2">
        <v>114.19401550292969</v>
      </c>
      <c r="AD2">
        <v>536</v>
      </c>
      <c r="AE2">
        <v>150.5242919921875</v>
      </c>
      <c r="AF2">
        <v>115.94330596923828</v>
      </c>
      <c r="AG2">
        <v>529</v>
      </c>
      <c r="AH2">
        <v>150.05001831054688</v>
      </c>
      <c r="AI2">
        <v>115.24782562255859</v>
      </c>
      <c r="AJ2">
        <v>473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</row>
    <row r="3" spans="1:72" x14ac:dyDescent="0.2">
      <c r="A3">
        <v>142.48231506347656</v>
      </c>
      <c r="B3">
        <v>110.73857116699219</v>
      </c>
      <c r="C3">
        <v>528</v>
      </c>
      <c r="D3">
        <v>142.80784606933594</v>
      </c>
      <c r="E3">
        <v>110.82456207275391</v>
      </c>
      <c r="F3">
        <v>537</v>
      </c>
      <c r="G3">
        <v>142.93031311035156</v>
      </c>
      <c r="H3">
        <v>110.88606262207031</v>
      </c>
      <c r="I3">
        <v>530</v>
      </c>
      <c r="J3">
        <v>142.78746032714844</v>
      </c>
      <c r="K3">
        <v>110.65272521972656</v>
      </c>
      <c r="L3">
        <v>532</v>
      </c>
      <c r="M3">
        <v>142.03712463378906</v>
      </c>
      <c r="N3">
        <v>110.46920013427734</v>
      </c>
      <c r="O3">
        <v>527</v>
      </c>
      <c r="P3">
        <v>142.50262451171875</v>
      </c>
      <c r="Q3">
        <v>110.64047241210938</v>
      </c>
      <c r="R3">
        <v>518</v>
      </c>
      <c r="S3">
        <v>142.76707458496094</v>
      </c>
      <c r="T3">
        <v>110.64047241210938</v>
      </c>
      <c r="U3">
        <v>537</v>
      </c>
      <c r="V3">
        <v>141.95648193359375</v>
      </c>
      <c r="W3">
        <v>110.24977111816406</v>
      </c>
      <c r="X3">
        <v>536</v>
      </c>
      <c r="Y3">
        <v>142.46202087402344</v>
      </c>
      <c r="Z3">
        <v>110.66497802734375</v>
      </c>
      <c r="AA3">
        <v>525</v>
      </c>
      <c r="AB3">
        <v>142.1380615234375</v>
      </c>
      <c r="AC3">
        <v>110.20112609863281</v>
      </c>
      <c r="AD3">
        <v>538</v>
      </c>
      <c r="AE3">
        <v>144.125</v>
      </c>
      <c r="AF3">
        <v>112.20613098144531</v>
      </c>
      <c r="AG3">
        <v>529</v>
      </c>
      <c r="AH3">
        <v>143.89689636230469</v>
      </c>
      <c r="AI3">
        <v>111.67934417724609</v>
      </c>
      <c r="AJ3">
        <v>474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</row>
    <row r="4" spans="1:72" x14ac:dyDescent="0.2">
      <c r="A4">
        <v>137.99964904785156</v>
      </c>
      <c r="B4">
        <v>107.65985107421875</v>
      </c>
      <c r="C4">
        <v>530</v>
      </c>
      <c r="D4">
        <v>140.10694885253906</v>
      </c>
      <c r="E4">
        <v>109.2491455078125</v>
      </c>
      <c r="F4">
        <v>540</v>
      </c>
      <c r="G4">
        <v>140.1265869140625</v>
      </c>
      <c r="H4">
        <v>109.62074279785156</v>
      </c>
      <c r="I4">
        <v>533</v>
      </c>
      <c r="J4">
        <v>140.95608520507813</v>
      </c>
      <c r="K4">
        <v>109.4046630859375</v>
      </c>
      <c r="L4">
        <v>532</v>
      </c>
      <c r="M4">
        <v>139.28738403320313</v>
      </c>
      <c r="N4">
        <v>109.34479522705078</v>
      </c>
      <c r="O4">
        <v>533</v>
      </c>
      <c r="P4">
        <v>140.18550109863281</v>
      </c>
      <c r="Q4">
        <v>109.59668731689453</v>
      </c>
      <c r="R4">
        <v>524</v>
      </c>
      <c r="S4">
        <v>140.14622497558594</v>
      </c>
      <c r="T4">
        <v>109.34479522705078</v>
      </c>
      <c r="U4">
        <v>540</v>
      </c>
      <c r="V4">
        <v>140.22482299804688</v>
      </c>
      <c r="W4">
        <v>108.91566467285156</v>
      </c>
      <c r="X4">
        <v>539</v>
      </c>
      <c r="Y4">
        <v>140.91635131835938</v>
      </c>
      <c r="Z4">
        <v>109.68091583251953</v>
      </c>
      <c r="AA4">
        <v>526</v>
      </c>
      <c r="AB4">
        <v>139.30677795410156</v>
      </c>
      <c r="AC4">
        <v>108.82076263427734</v>
      </c>
      <c r="AD4">
        <v>541</v>
      </c>
      <c r="AE4">
        <v>141.49453735351563</v>
      </c>
      <c r="AF4">
        <v>110.20112609863281</v>
      </c>
      <c r="AG4">
        <v>532</v>
      </c>
      <c r="AH4">
        <v>140.67849731445313</v>
      </c>
      <c r="AI4">
        <v>109.7652587890625</v>
      </c>
      <c r="AJ4">
        <v>474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</row>
    <row r="5" spans="1:72" x14ac:dyDescent="0.2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</row>
    <row r="6" spans="1:72" x14ac:dyDescent="0.2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</row>
    <row r="7" spans="1:72" x14ac:dyDescent="0.2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72" x14ac:dyDescent="0.2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</row>
    <row r="9" spans="1:72" x14ac:dyDescent="0.2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</row>
    <row r="10" spans="1:72" x14ac:dyDescent="0.2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</row>
    <row r="11" spans="1:72" x14ac:dyDescent="0.2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</row>
    <row r="12" spans="1:72" x14ac:dyDescent="0.2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</row>
    <row r="13" spans="1:72" x14ac:dyDescent="0.2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</row>
    <row r="14" spans="1:72" x14ac:dyDescent="0.2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</row>
    <row r="15" spans="1:72" x14ac:dyDescent="0.2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</row>
    <row r="16" spans="1:72" x14ac:dyDescent="0.2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</row>
    <row r="17" spans="1:72" x14ac:dyDescent="0.2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</row>
    <row r="18" spans="1:72" x14ac:dyDescent="0.2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</row>
    <row r="19" spans="1:72" x14ac:dyDescent="0.2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</row>
    <row r="20" spans="1:72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72" x14ac:dyDescent="0.2">
      <c r="A21" s="5">
        <v>0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</row>
    <row r="22" spans="1:72" x14ac:dyDescent="0.2">
      <c r="A22" s="5">
        <v>0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</row>
    <row r="23" spans="1:72" x14ac:dyDescent="0.2">
      <c r="A23" s="5">
        <v>0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</row>
    <row r="24" spans="1:72" x14ac:dyDescent="0.2">
      <c r="A24" s="5">
        <v>0</v>
      </c>
      <c r="B24" s="5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</row>
    <row r="25" spans="1:72" x14ac:dyDescent="0.2">
      <c r="A25" s="5">
        <v>0</v>
      </c>
      <c r="B25" s="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</row>
    <row r="26" spans="1:72" x14ac:dyDescent="0.2">
      <c r="A26" s="5">
        <v>0</v>
      </c>
      <c r="B26" s="5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2" x14ac:dyDescent="0.2">
      <c r="A27" s="5">
        <v>0</v>
      </c>
      <c r="B27" s="5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2" x14ac:dyDescent="0.2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</row>
    <row r="29" spans="1:72" x14ac:dyDescent="0.2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</row>
    <row r="30" spans="1:72" x14ac:dyDescent="0.2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</row>
    <row r="31" spans="1:72" x14ac:dyDescent="0.2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</row>
    <row r="32" spans="1:72" x14ac:dyDescent="0.2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</row>
    <row r="33" spans="1:72" x14ac:dyDescent="0.2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</row>
    <row r="34" spans="1:72" x14ac:dyDescent="0.2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</row>
    <row r="35" spans="1:72" x14ac:dyDescent="0.2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72" x14ac:dyDescent="0.2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</row>
    <row r="37" spans="1:72" x14ac:dyDescent="0.2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</row>
    <row r="38" spans="1:72" x14ac:dyDescent="0.2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</row>
    <row r="39" spans="1:72" x14ac:dyDescent="0.2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72" x14ac:dyDescent="0.2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</row>
    <row r="41" spans="1:72" x14ac:dyDescent="0.2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1:72" x14ac:dyDescent="0.2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</row>
    <row r="43" spans="1:72" x14ac:dyDescent="0.2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1:72" x14ac:dyDescent="0.2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</row>
    <row r="45" spans="1:72" x14ac:dyDescent="0.2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1:72" x14ac:dyDescent="0.2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</row>
    <row r="47" spans="1:72" x14ac:dyDescent="0.2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72" x14ac:dyDescent="0.2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72" x14ac:dyDescent="0.2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72" x14ac:dyDescent="0.2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72" x14ac:dyDescent="0.2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72" x14ac:dyDescent="0.2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3" spans="1:72" x14ac:dyDescent="0.2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</row>
    <row r="54" spans="1:72" x14ac:dyDescent="0.2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</row>
    <row r="55" spans="1:72" x14ac:dyDescent="0.2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</row>
    <row r="56" spans="1:72" x14ac:dyDescent="0.2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</row>
    <row r="57" spans="1:72" x14ac:dyDescent="0.2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</row>
    <row r="58" spans="1:72" x14ac:dyDescent="0.2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</row>
    <row r="59" spans="1:72" x14ac:dyDescent="0.2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</row>
    <row r="60" spans="1:72" x14ac:dyDescent="0.2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  <row r="61" spans="1:72" x14ac:dyDescent="0.2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</row>
    <row r="62" spans="1:72" x14ac:dyDescent="0.2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</row>
    <row r="63" spans="1:72" x14ac:dyDescent="0.2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</row>
    <row r="64" spans="1:72" x14ac:dyDescent="0.2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</row>
    <row r="65" spans="1:72" x14ac:dyDescent="0.2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1:72" x14ac:dyDescent="0.2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</row>
    <row r="67" spans="1:72" x14ac:dyDescent="0.2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1:72" x14ac:dyDescent="0.2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</row>
    <row r="69" spans="1:72" x14ac:dyDescent="0.2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</row>
    <row r="70" spans="1:72" x14ac:dyDescent="0.2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</row>
    <row r="71" spans="1:72" x14ac:dyDescent="0.2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1:72" x14ac:dyDescent="0.2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1:72" x14ac:dyDescent="0.2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1:72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</row>
    <row r="75" spans="1:72" x14ac:dyDescent="0.2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</row>
    <row r="76" spans="1:72" x14ac:dyDescent="0.2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1:72" x14ac:dyDescent="0.2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1:72" x14ac:dyDescent="0.2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</row>
    <row r="79" spans="1:72" x14ac:dyDescent="0.2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</row>
    <row r="80" spans="1:72" x14ac:dyDescent="0.2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1:72" x14ac:dyDescent="0.2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</row>
    <row r="82" spans="1:72" x14ac:dyDescent="0.2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</row>
    <row r="83" spans="1:72" x14ac:dyDescent="0.2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</row>
    <row r="84" spans="1:72" x14ac:dyDescent="0.2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</row>
    <row r="85" spans="1:72" x14ac:dyDescent="0.2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1:72" x14ac:dyDescent="0.2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</row>
    <row r="87" spans="1:72" x14ac:dyDescent="0.2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</row>
    <row r="88" spans="1:72" x14ac:dyDescent="0.2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</row>
    <row r="89" spans="1:72" x14ac:dyDescent="0.2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</row>
    <row r="90" spans="1:72" x14ac:dyDescent="0.2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</row>
    <row r="91" spans="1:72" x14ac:dyDescent="0.2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</row>
    <row r="92" spans="1:72" x14ac:dyDescent="0.2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</row>
    <row r="93" spans="1:72" x14ac:dyDescent="0.2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</row>
    <row r="94" spans="1:72" x14ac:dyDescent="0.2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</row>
    <row r="95" spans="1:72" x14ac:dyDescent="0.2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1:72" x14ac:dyDescent="0.2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</row>
    <row r="97" spans="1:93" x14ac:dyDescent="0.2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93" x14ac:dyDescent="0.2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</row>
    <row r="99" spans="1:93" x14ac:dyDescent="0.2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</row>
    <row r="100" spans="1:93" x14ac:dyDescent="0.2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</row>
    <row r="108" spans="1:93" x14ac:dyDescent="0.2">
      <c r="A108" s="7"/>
      <c r="C108" s="7"/>
      <c r="E108" s="7"/>
      <c r="G108" s="7"/>
      <c r="I108" s="7"/>
      <c r="K108" s="7"/>
      <c r="M108" s="7"/>
      <c r="O108" s="7"/>
      <c r="Q108" s="7"/>
      <c r="S108" s="7"/>
      <c r="U108" s="7"/>
      <c r="W108" s="7"/>
      <c r="Y108" s="7"/>
      <c r="AA108" s="7"/>
      <c r="AC108" s="7"/>
      <c r="AE108" s="7"/>
      <c r="AG108" s="7"/>
      <c r="AI108" s="7"/>
      <c r="AK108" s="7"/>
      <c r="AM108" s="7"/>
      <c r="AO108" s="7"/>
      <c r="AQ108" s="7"/>
      <c r="AS108" s="7"/>
      <c r="AU108" s="7"/>
      <c r="AW108" s="7"/>
      <c r="AY108" s="7"/>
      <c r="BA108" s="7"/>
      <c r="BC108" s="7"/>
      <c r="BE108" s="7"/>
      <c r="BG108" s="7"/>
      <c r="BI108" s="7"/>
      <c r="BK108" s="7"/>
      <c r="BM108" s="7"/>
      <c r="BO108" s="7"/>
      <c r="BQ108" s="7"/>
      <c r="BS108" s="7"/>
      <c r="BU108" s="7"/>
      <c r="BW108" s="7"/>
      <c r="BY108" s="7"/>
      <c r="CA108" s="7"/>
      <c r="CC108" s="7"/>
      <c r="CE108" s="7"/>
      <c r="CG108" s="7"/>
      <c r="CI108" s="7"/>
      <c r="CK108" s="7"/>
      <c r="CM108" s="7"/>
      <c r="CO108" s="7"/>
    </row>
    <row r="109" spans="1:93" x14ac:dyDescent="0.2">
      <c r="AU109" s="5"/>
    </row>
  </sheetData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Line="0" autoPict="0" macro="[0]!Block_Read">
                <anchor moveWithCells="1" siz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Line="0" autoPict="0" macro="[0]!Block_Write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Line="0" autoPict="0" macro="[0]!Word_Read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0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EnglishOperation</vt:lpstr>
      <vt:lpstr>MULTIPLE_SHOT_REPORT</vt:lpstr>
      <vt:lpstr>IV_REPORT</vt:lpstr>
      <vt:lpstr>IV_REPORT_Plus</vt:lpstr>
      <vt:lpstr>EQUATION_SHEET</vt:lpstr>
      <vt:lpstr>MULTIPLE_SHOT_DATA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PTM Operations and Data Collection</dc:title>
  <dc:creator>William B Hughes II</dc:creator>
  <cp:keywords>PTM2</cp:keywords>
  <dc:description>This is the first release version of the PTM2 Operations and Data Collection excel document.</dc:description>
  <cp:lastModifiedBy>Billy Hughes</cp:lastModifiedBy>
  <cp:lastPrinted>2017-10-25T14:17:46Z</cp:lastPrinted>
  <dcterms:created xsi:type="dcterms:W3CDTF">2005-03-26T15:57:27Z</dcterms:created>
  <dcterms:modified xsi:type="dcterms:W3CDTF">2019-10-21T12:24:22Z</dcterms:modified>
</cp:coreProperties>
</file>